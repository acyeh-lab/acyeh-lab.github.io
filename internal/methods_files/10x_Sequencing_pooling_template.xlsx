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Hill Lab\Laboratory Research\Julie\Sequencing\"/>
    </mc:Choice>
  </mc:AlternateContent>
  <xr:revisionPtr revIDLastSave="0" documentId="13_ncr:1_{D69008BC-D8D1-4F3B-98FA-B1AAAD07433B}" xr6:coauthVersionLast="47" xr6:coauthVersionMax="47" xr10:uidLastSave="{00000000-0000-0000-0000-000000000000}"/>
  <bookViews>
    <workbookView xWindow="-120" yWindow="-120" windowWidth="29040" windowHeight="15840" xr2:uid="{56692353-FB4B-3542-8D0B-2ACDCBAB0144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9" i="1" l="1"/>
  <c r="BL8" i="1"/>
  <c r="BL7" i="1"/>
  <c r="BL6" i="1"/>
  <c r="BH7" i="1"/>
  <c r="BN7" i="1" s="1"/>
  <c r="BG7" i="1"/>
  <c r="AY7" i="1"/>
  <c r="AZ7" i="1" s="1"/>
  <c r="AP7" i="1"/>
  <c r="AS7" i="1" s="1"/>
  <c r="BH8" i="1"/>
  <c r="BN8" i="1" s="1"/>
  <c r="BG8" i="1"/>
  <c r="AY8" i="1"/>
  <c r="AZ8" i="1" s="1"/>
  <c r="AP8" i="1"/>
  <c r="AS8" i="1" s="1"/>
  <c r="AU8" i="1" s="1"/>
  <c r="BL5" i="1"/>
  <c r="BL4" i="1"/>
  <c r="AP5" i="1"/>
  <c r="AU7" i="1" l="1"/>
  <c r="AT7" i="1"/>
  <c r="AT8" i="1"/>
  <c r="AV8" i="1" s="1"/>
  <c r="AX8" i="1" s="1"/>
  <c r="BL11" i="1"/>
  <c r="BH11" i="1"/>
  <c r="BG11" i="1"/>
  <c r="AY11" i="1"/>
  <c r="AO11" i="1"/>
  <c r="AP11" i="1" s="1"/>
  <c r="AS11" i="1" s="1"/>
  <c r="BH9" i="1"/>
  <c r="BG9" i="1"/>
  <c r="AY9" i="1"/>
  <c r="AZ9" i="1" s="1"/>
  <c r="AP9" i="1"/>
  <c r="AS9" i="1" s="1"/>
  <c r="BH6" i="1"/>
  <c r="BG6" i="1"/>
  <c r="AY6" i="1"/>
  <c r="AZ6" i="1" s="1"/>
  <c r="AP6" i="1"/>
  <c r="AS6" i="1" s="1"/>
  <c r="BH5" i="1"/>
  <c r="BG5" i="1"/>
  <c r="AY5" i="1"/>
  <c r="AZ5" i="1" s="1"/>
  <c r="AS5" i="1"/>
  <c r="BH4" i="1"/>
  <c r="BG4" i="1"/>
  <c r="AY4" i="1"/>
  <c r="AZ4" i="1" s="1"/>
  <c r="AP4" i="1"/>
  <c r="AS4" i="1" s="1"/>
  <c r="AV7" i="1" l="1"/>
  <c r="AX7" i="1" s="1"/>
  <c r="BN9" i="1"/>
  <c r="BN6" i="1"/>
  <c r="BA4" i="1"/>
  <c r="AU11" i="1"/>
  <c r="AT11" i="1"/>
  <c r="BN11" i="1"/>
  <c r="BN5" i="1"/>
  <c r="BN4" i="1"/>
  <c r="AT9" i="1"/>
  <c r="AU9" i="1"/>
  <c r="AU5" i="1"/>
  <c r="AT5" i="1"/>
  <c r="AU6" i="1"/>
  <c r="AT6" i="1"/>
  <c r="AT4" i="1"/>
  <c r="AU4" i="1"/>
  <c r="AZ11" i="1"/>
  <c r="BA11" i="1" s="1"/>
  <c r="AV6" i="1" l="1"/>
  <c r="AX6" i="1" s="1"/>
  <c r="AV5" i="1"/>
  <c r="AX5" i="1" s="1"/>
  <c r="AV4" i="1"/>
  <c r="AX4" i="1" s="1"/>
  <c r="AV9" i="1"/>
  <c r="AX9" i="1" s="1"/>
  <c r="AV11" i="1"/>
  <c r="AX11" i="1" s="1"/>
  <c r="BF11" i="1" s="1"/>
  <c r="BF4" i="1" l="1"/>
</calcChain>
</file>

<file path=xl/sharedStrings.xml><?xml version="1.0" encoding="utf-8"?>
<sst xmlns="http://schemas.openxmlformats.org/spreadsheetml/2006/main" count="658" uniqueCount="114">
  <si>
    <t>pool</t>
  </si>
  <si>
    <t>TAPE#1&gt;&gt;&gt;&gt;&gt;&gt;&gt;&gt;&gt;&gt;&gt;&gt;&gt;&gt;</t>
  </si>
  <si>
    <t>QUBIT#1&gt;&gt;&gt;&gt;&gt;&gt;&gt;&gt;&gt;&gt;&gt;&gt;&gt;&gt;&gt;&gt;&gt;&gt;&gt;&gt;&gt;&gt;&gt;&gt;&gt;&gt;&gt;&gt;&gt;&gt;&gt;&gt;&gt;&gt;&gt;&gt;&gt;&gt;&gt;&gt;&gt;&gt;</t>
  </si>
  <si>
    <t>QUBIT#2&gt;&gt;&gt;&gt;&gt;&gt;&gt;&gt;&gt;&gt;&gt;&gt;&gt;&gt;&gt;&gt;&gt;&gt;&gt;&gt;&gt;&gt;&gt;&gt;&gt;&gt;&gt;&gt;&gt;&gt;&gt;&gt;&gt;&gt;&gt;&gt;&gt;&gt;&gt;&gt;&gt;&gt;</t>
  </si>
  <si>
    <t>TAPE#2&gt;&gt;&gt;&gt;&gt;&gt;&gt;&gt;&gt;&gt;&gt;&gt;&gt;&gt;</t>
  </si>
  <si>
    <t>Combine Col J &amp; L for pool</t>
  </si>
  <si>
    <t>Cycles</t>
  </si>
  <si>
    <t>Vol</t>
  </si>
  <si>
    <t>size (peak 1)</t>
  </si>
  <si>
    <t>weight</t>
  </si>
  <si>
    <t>size (peak 2)</t>
  </si>
  <si>
    <t>size (peak 3)</t>
  </si>
  <si>
    <t>size (peak 4)</t>
  </si>
  <si>
    <r>
      <t>weight (</t>
    </r>
    <r>
      <rPr>
        <b/>
        <i/>
        <sz val="12"/>
        <color rgb="FF000000"/>
        <rFont val="Calibri"/>
        <family val="2"/>
        <scheme val="minor"/>
      </rPr>
      <t>ref.</t>
    </r>
    <r>
      <rPr>
        <sz val="12"/>
        <color rgb="FF000000"/>
        <rFont val="Calibri"/>
        <family val="2"/>
        <scheme val="minor"/>
      </rPr>
      <t>)</t>
    </r>
  </si>
  <si>
    <t>Size (weighted average)</t>
  </si>
  <si>
    <t>Stock Conc of LIBRARY</t>
  </si>
  <si>
    <t>Total yield</t>
  </si>
  <si>
    <t>Input SIPCR</t>
  </si>
  <si>
    <t>Total Vol Frag</t>
  </si>
  <si>
    <t>Vol cDNA</t>
  </si>
  <si>
    <t>Vol H20</t>
  </si>
  <si>
    <t>IndexPlate</t>
  </si>
  <si>
    <t>Sample Index</t>
  </si>
  <si>
    <t>Size</t>
  </si>
  <si>
    <t xml:space="preserve"> Estimated nM</t>
  </si>
  <si>
    <t>Conc to submit</t>
  </si>
  <si>
    <t>Final Vol</t>
  </si>
  <si>
    <t>Vol Stock</t>
  </si>
  <si>
    <t>Vol EB</t>
  </si>
  <si>
    <t>Calculated nM</t>
  </si>
  <si>
    <t>Vol desired per tube</t>
  </si>
  <si>
    <t>Target nM</t>
  </si>
  <si>
    <t>Amount  ul</t>
  </si>
  <si>
    <t>10X dilution (if needed)</t>
  </si>
  <si>
    <t>EB</t>
  </si>
  <si>
    <t>Volume 10X</t>
  </si>
  <si>
    <t>done</t>
  </si>
  <si>
    <t>Add Xul</t>
  </si>
  <si>
    <t>Vol to pool</t>
  </si>
  <si>
    <t>Total DNA in pool</t>
  </si>
  <si>
    <t>Expected</t>
  </si>
  <si>
    <t>Measured FHCRC</t>
  </si>
  <si>
    <t>Size UW</t>
  </si>
  <si>
    <t>Measured UW</t>
  </si>
  <si>
    <t>est. nM of pool</t>
  </si>
  <si>
    <t>EB to Add if Uneven Pool</t>
  </si>
  <si>
    <t>SampleID</t>
  </si>
  <si>
    <t>samples in Pool/reads</t>
  </si>
  <si>
    <t>Flow Cell</t>
  </si>
  <si>
    <t>Total Volume of pool</t>
  </si>
  <si>
    <t>Fraction of Librariy in Pool</t>
  </si>
  <si>
    <t>Total Reads in FC</t>
  </si>
  <si>
    <t>Estimated Reads Per cell</t>
  </si>
  <si>
    <t>Total Reads Obtained</t>
  </si>
  <si>
    <t>Reads per uL</t>
  </si>
  <si>
    <t>Actual Cells</t>
  </si>
  <si>
    <t>RPC seqeunced</t>
  </si>
  <si>
    <t>Offset Percent</t>
  </si>
  <si>
    <t>Target RPC</t>
  </si>
  <si>
    <t>Reads needed</t>
  </si>
  <si>
    <t>Pool</t>
  </si>
  <si>
    <t>SEQ</t>
  </si>
  <si>
    <t>Cells</t>
  </si>
  <si>
    <t>cDNA</t>
  </si>
  <si>
    <t>bp</t>
  </si>
  <si>
    <t>nmol/L</t>
  </si>
  <si>
    <t>ng/ul</t>
  </si>
  <si>
    <t>ng</t>
  </si>
  <si>
    <t>uL</t>
  </si>
  <si>
    <t>Used</t>
  </si>
  <si>
    <t>SIPCR</t>
  </si>
  <si>
    <t>User</t>
  </si>
  <si>
    <t>ul</t>
  </si>
  <si>
    <t>usually 8nM</t>
  </si>
  <si>
    <t>for Pool</t>
  </si>
  <si>
    <t>stock</t>
  </si>
  <si>
    <t>ng/uL</t>
  </si>
  <si>
    <t>nM</t>
  </si>
  <si>
    <t>Type</t>
  </si>
  <si>
    <t>Reads</t>
  </si>
  <si>
    <t>P3</t>
  </si>
  <si>
    <t>*</t>
  </si>
  <si>
    <t xml:space="preserve">This is Auto fill </t>
  </si>
  <si>
    <t>Fill all the * columns</t>
  </si>
  <si>
    <t>Seq receipe used</t>
  </si>
  <si>
    <t>loading concen.on Nextseq 2000</t>
  </si>
  <si>
    <t>1200pM</t>
  </si>
  <si>
    <t>R1=28; i7=10; i5=10; R2=90</t>
  </si>
  <si>
    <t>R1=26; i7=10; i5=10; R2=90</t>
  </si>
  <si>
    <t>1500pM</t>
  </si>
  <si>
    <t>R1=50; i7=8; i5=16; R2=50</t>
  </si>
  <si>
    <t>1800pM</t>
  </si>
  <si>
    <t>R1=50; i7=8; i5=24; R2=49</t>
  </si>
  <si>
    <t>R1=50; i7=8; i5=24; R2=50</t>
  </si>
  <si>
    <t>R1=28; i7=299; i5=0; R2=0</t>
  </si>
  <si>
    <t>1000pM</t>
  </si>
  <si>
    <t>This can be either 8nM or 2nM</t>
  </si>
  <si>
    <t>R1=28; i7=10; i5=0; R2=91</t>
  </si>
  <si>
    <t>PBMC_1</t>
  </si>
  <si>
    <t>PBMC_2</t>
  </si>
  <si>
    <t>PBMC_3</t>
  </si>
  <si>
    <t>PBMC_4</t>
  </si>
  <si>
    <t>PBMC_5</t>
  </si>
  <si>
    <t>PBMC_6</t>
  </si>
  <si>
    <t>TS-SetA</t>
  </si>
  <si>
    <t>SI-TS-A1</t>
  </si>
  <si>
    <t>SI-TS-A2</t>
  </si>
  <si>
    <t>SI-TS-A3</t>
  </si>
  <si>
    <t>SI-TS-A4</t>
  </si>
  <si>
    <t>SI-TS-A5</t>
  </si>
  <si>
    <t>SI-TS-A6</t>
  </si>
  <si>
    <t>PBMC_ GEX</t>
  </si>
  <si>
    <t>DUAL_IND_GEX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</si>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</sst>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11D1E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2CE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0" fillId="3" borderId="1" xfId="0" applyFill="1" applyBorder="1"/>
    <xf numFmtId="1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 vertical="center"/>
    </xf>
    <xf numFmtId="2" fontId="0" fillId="0" borderId="1" xfId="0" applyNumberFormat="1" applyBorder="1"/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/>
    <xf numFmtId="2" fontId="0" fillId="5" borderId="1" xfId="0" applyNumberFormat="1" applyFill="1" applyBorder="1"/>
    <xf numFmtId="1" fontId="0" fillId="4" borderId="1" xfId="0" applyNumberFormat="1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1" fontId="5" fillId="4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/>
    <xf numFmtId="164" fontId="0" fillId="6" borderId="1" xfId="0" applyNumberFormat="1" applyFill="1" applyBorder="1"/>
    <xf numFmtId="164" fontId="0" fillId="0" borderId="1" xfId="0" applyNumberFormat="1" applyBorder="1"/>
    <xf numFmtId="2" fontId="6" fillId="7" borderId="1" xfId="0" applyNumberFormat="1" applyFont="1" applyFill="1" applyBorder="1"/>
    <xf numFmtId="164" fontId="6" fillId="8" borderId="1" xfId="0" applyNumberFormat="1" applyFont="1" applyFill="1" applyBorder="1"/>
    <xf numFmtId="2" fontId="1" fillId="8" borderId="1" xfId="0" applyNumberFormat="1" applyFont="1" applyFill="1" applyBorder="1"/>
    <xf numFmtId="0" fontId="2" fillId="7" borderId="1" xfId="0" applyFont="1" applyFill="1" applyBorder="1" applyAlignment="1">
      <alignment horizontal="center"/>
    </xf>
    <xf numFmtId="0" fontId="0" fillId="9" borderId="1" xfId="0" applyFill="1" applyBorder="1"/>
    <xf numFmtId="2" fontId="0" fillId="9" borderId="1" xfId="0" applyNumberFormat="1" applyFill="1" applyBorder="1"/>
    <xf numFmtId="0" fontId="7" fillId="10" borderId="1" xfId="0" applyFont="1" applyFill="1" applyBorder="1"/>
    <xf numFmtId="164" fontId="1" fillId="11" borderId="1" xfId="0" applyNumberFormat="1" applyFont="1" applyFill="1" applyBorder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1" fontId="0" fillId="0" borderId="1" xfId="0" applyNumberFormat="1" applyBorder="1"/>
    <xf numFmtId="0" fontId="0" fillId="3" borderId="2" xfId="0" applyFill="1" applyBorder="1" applyAlignment="1">
      <alignment horizontal="center"/>
    </xf>
    <xf numFmtId="0" fontId="0" fillId="0" borderId="2" xfId="0" applyBorder="1"/>
    <xf numFmtId="3" fontId="0" fillId="0" borderId="2" xfId="0" applyNumberFormat="1" applyBorder="1" applyAlignment="1">
      <alignment horizontal="center"/>
    </xf>
    <xf numFmtId="0" fontId="0" fillId="3" borderId="2" xfId="0" applyFill="1" applyBorder="1"/>
    <xf numFmtId="1" fontId="0" fillId="4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 vertical="center"/>
    </xf>
    <xf numFmtId="2" fontId="0" fillId="0" borderId="2" xfId="0" applyNumberFormat="1" applyBorder="1"/>
    <xf numFmtId="0" fontId="4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/>
    <xf numFmtId="2" fontId="0" fillId="5" borderId="2" xfId="0" applyNumberFormat="1" applyFill="1" applyBorder="1"/>
    <xf numFmtId="1" fontId="0" fillId="4" borderId="2" xfId="0" applyNumberFormat="1" applyFill="1" applyBorder="1" applyAlignment="1">
      <alignment vertical="center"/>
    </xf>
    <xf numFmtId="2" fontId="0" fillId="4" borderId="2" xfId="0" applyNumberFormat="1" applyFill="1" applyBorder="1" applyAlignment="1">
      <alignment vertical="center"/>
    </xf>
    <xf numFmtId="1" fontId="5" fillId="4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/>
    <xf numFmtId="164" fontId="0" fillId="6" borderId="2" xfId="0" applyNumberFormat="1" applyFill="1" applyBorder="1"/>
    <xf numFmtId="164" fontId="0" fillId="0" borderId="2" xfId="0" applyNumberFormat="1" applyBorder="1"/>
    <xf numFmtId="2" fontId="6" fillId="7" borderId="2" xfId="0" applyNumberFormat="1" applyFont="1" applyFill="1" applyBorder="1"/>
    <xf numFmtId="164" fontId="6" fillId="8" borderId="2" xfId="0" applyNumberFormat="1" applyFont="1" applyFill="1" applyBorder="1"/>
    <xf numFmtId="2" fontId="1" fillId="8" borderId="2" xfId="0" applyNumberFormat="1" applyFont="1" applyFill="1" applyBorder="1"/>
    <xf numFmtId="0" fontId="2" fillId="7" borderId="2" xfId="0" applyFont="1" applyFill="1" applyBorder="1" applyAlignment="1">
      <alignment horizontal="center"/>
    </xf>
    <xf numFmtId="0" fontId="0" fillId="9" borderId="2" xfId="0" applyFill="1" applyBorder="1"/>
    <xf numFmtId="2" fontId="0" fillId="9" borderId="2" xfId="0" applyNumberFormat="1" applyFill="1" applyBorder="1"/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1" fontId="0" fillId="0" borderId="2" xfId="0" applyNumberFormat="1" applyBorder="1"/>
    <xf numFmtId="1" fontId="3" fillId="4" borderId="3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4" xfId="0" applyBorder="1"/>
    <xf numFmtId="3" fontId="0" fillId="0" borderId="4" xfId="0" applyNumberFormat="1" applyBorder="1" applyAlignment="1">
      <alignment horizontal="center"/>
    </xf>
    <xf numFmtId="0" fontId="0" fillId="3" borderId="4" xfId="0" applyFill="1" applyBorder="1"/>
    <xf numFmtId="1" fontId="0" fillId="4" borderId="4" xfId="0" applyNumberFormat="1" applyFill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1" fontId="3" fillId="4" borderId="4" xfId="0" applyNumberFormat="1" applyFont="1" applyFill="1" applyBorder="1" applyAlignment="1">
      <alignment horizontal="center" vertical="center"/>
    </xf>
    <xf numFmtId="2" fontId="0" fillId="0" borderId="4" xfId="0" applyNumberFormat="1" applyBorder="1"/>
    <xf numFmtId="0" fontId="4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4" xfId="0" applyNumberFormat="1" applyBorder="1"/>
    <xf numFmtId="2" fontId="0" fillId="5" borderId="4" xfId="0" applyNumberFormat="1" applyFill="1" applyBorder="1"/>
    <xf numFmtId="1" fontId="0" fillId="4" borderId="4" xfId="0" applyNumberFormat="1" applyFill="1" applyBorder="1" applyAlignment="1">
      <alignment vertical="center"/>
    </xf>
    <xf numFmtId="2" fontId="0" fillId="4" borderId="4" xfId="0" applyNumberFormat="1" applyFill="1" applyBorder="1" applyAlignment="1">
      <alignment vertical="center"/>
    </xf>
    <xf numFmtId="1" fontId="5" fillId="4" borderId="4" xfId="0" applyNumberFormat="1" applyFont="1" applyFill="1" applyBorder="1" applyAlignment="1">
      <alignment horizontal="center" vertical="center"/>
    </xf>
    <xf numFmtId="2" fontId="2" fillId="0" borderId="4" xfId="0" applyNumberFormat="1" applyFont="1" applyBorder="1"/>
    <xf numFmtId="164" fontId="0" fillId="6" borderId="4" xfId="0" applyNumberFormat="1" applyFill="1" applyBorder="1"/>
    <xf numFmtId="164" fontId="0" fillId="0" borderId="4" xfId="0" applyNumberFormat="1" applyBorder="1"/>
    <xf numFmtId="2" fontId="6" fillId="7" borderId="4" xfId="0" applyNumberFormat="1" applyFont="1" applyFill="1" applyBorder="1"/>
    <xf numFmtId="164" fontId="6" fillId="8" borderId="4" xfId="0" applyNumberFormat="1" applyFont="1" applyFill="1" applyBorder="1"/>
    <xf numFmtId="2" fontId="1" fillId="8" borderId="4" xfId="0" applyNumberFormat="1" applyFont="1" applyFill="1" applyBorder="1"/>
    <xf numFmtId="0" fontId="2" fillId="7" borderId="4" xfId="0" applyFont="1" applyFill="1" applyBorder="1" applyAlignment="1">
      <alignment horizontal="center"/>
    </xf>
    <xf numFmtId="0" fontId="0" fillId="9" borderId="4" xfId="0" applyFill="1" applyBorder="1"/>
    <xf numFmtId="2" fontId="0" fillId="9" borderId="4" xfId="0" applyNumberFormat="1" applyFill="1" applyBorder="1"/>
    <xf numFmtId="2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165" fontId="0" fillId="0" borderId="4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11" fontId="0" fillId="0" borderId="4" xfId="0" applyNumberFormat="1" applyBorder="1"/>
    <xf numFmtId="1" fontId="0" fillId="4" borderId="3" xfId="0" applyNumberFormat="1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3" fontId="7" fillId="0" borderId="0" xfId="0" applyNumberFormat="1" applyFont="1" applyAlignment="1">
      <alignment horizontal="center"/>
    </xf>
    <xf numFmtId="0" fontId="7" fillId="0" borderId="0" xfId="0" applyFont="1"/>
    <xf numFmtId="1" fontId="7" fillId="12" borderId="0" xfId="0" applyNumberFormat="1" applyFont="1" applyFill="1"/>
    <xf numFmtId="2" fontId="7" fillId="12" borderId="0" xfId="0" applyNumberFormat="1" applyFont="1" applyFill="1" applyAlignment="1">
      <alignment horizontal="center"/>
    </xf>
    <xf numFmtId="1" fontId="7" fillId="12" borderId="0" xfId="0" applyNumberFormat="1" applyFont="1" applyFill="1" applyAlignment="1">
      <alignment horizontal="center"/>
    </xf>
    <xf numFmtId="1" fontId="8" fillId="12" borderId="0" xfId="0" applyNumberFormat="1" applyFont="1" applyFill="1" applyAlignment="1">
      <alignment horizontal="center"/>
    </xf>
    <xf numFmtId="2" fontId="7" fillId="13" borderId="0" xfId="0" applyNumberFormat="1" applyFont="1" applyFill="1"/>
    <xf numFmtId="2" fontId="7" fillId="0" borderId="0" xfId="0" applyNumberFormat="1" applyFont="1" applyAlignment="1">
      <alignment horizontal="center"/>
    </xf>
    <xf numFmtId="1" fontId="7" fillId="0" borderId="0" xfId="0" applyNumberFormat="1" applyFont="1"/>
    <xf numFmtId="0" fontId="7" fillId="13" borderId="0" xfId="0" applyFont="1" applyFill="1" applyAlignment="1">
      <alignment horizontal="left"/>
    </xf>
    <xf numFmtId="2" fontId="7" fillId="13" borderId="0" xfId="0" applyNumberFormat="1" applyFont="1" applyFill="1" applyAlignment="1">
      <alignment horizontal="left"/>
    </xf>
    <xf numFmtId="2" fontId="7" fillId="12" borderId="0" xfId="0" applyNumberFormat="1" applyFont="1" applyFill="1"/>
    <xf numFmtId="2" fontId="8" fillId="13" borderId="0" xfId="0" applyNumberFormat="1" applyFont="1" applyFill="1"/>
    <xf numFmtId="164" fontId="7" fillId="13" borderId="0" xfId="0" applyNumberFormat="1" applyFont="1" applyFill="1"/>
    <xf numFmtId="0" fontId="7" fillId="13" borderId="0" xfId="0" applyFont="1" applyFill="1" applyAlignment="1">
      <alignment horizontal="center"/>
    </xf>
    <xf numFmtId="2" fontId="7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1" fontId="0" fillId="0" borderId="0" xfId="0" applyNumberFormat="1"/>
    <xf numFmtId="0" fontId="7" fillId="14" borderId="2" xfId="0" applyFont="1" applyFill="1" applyBorder="1" applyAlignment="1">
      <alignment horizontal="center"/>
    </xf>
    <xf numFmtId="0" fontId="7" fillId="14" borderId="2" xfId="0" applyFont="1" applyFill="1" applyBorder="1" applyAlignment="1">
      <alignment horizontal="left"/>
    </xf>
    <xf numFmtId="3" fontId="7" fillId="14" borderId="2" xfId="0" applyNumberFormat="1" applyFont="1" applyFill="1" applyBorder="1" applyAlignment="1">
      <alignment horizontal="center"/>
    </xf>
    <xf numFmtId="0" fontId="7" fillId="14" borderId="2" xfId="0" applyFont="1" applyFill="1" applyBorder="1"/>
    <xf numFmtId="1" fontId="7" fillId="12" borderId="2" xfId="0" applyNumberFormat="1" applyFont="1" applyFill="1" applyBorder="1" applyAlignment="1">
      <alignment horizontal="center" wrapText="1"/>
    </xf>
    <xf numFmtId="2" fontId="7" fillId="12" borderId="2" xfId="0" applyNumberFormat="1" applyFont="1" applyFill="1" applyBorder="1" applyAlignment="1">
      <alignment horizontal="center" wrapText="1"/>
    </xf>
    <xf numFmtId="1" fontId="8" fillId="12" borderId="2" xfId="0" applyNumberFormat="1" applyFont="1" applyFill="1" applyBorder="1" applyAlignment="1">
      <alignment horizontal="center" wrapText="1"/>
    </xf>
    <xf numFmtId="2" fontId="7" fillId="13" borderId="2" xfId="0" applyNumberFormat="1" applyFont="1" applyFill="1" applyBorder="1" applyAlignment="1">
      <alignment wrapText="1"/>
    </xf>
    <xf numFmtId="2" fontId="7" fillId="13" borderId="2" xfId="0" applyNumberFormat="1" applyFont="1" applyFill="1" applyBorder="1"/>
    <xf numFmtId="2" fontId="7" fillId="14" borderId="2" xfId="0" applyNumberFormat="1" applyFont="1" applyFill="1" applyBorder="1" applyAlignment="1">
      <alignment horizontal="center"/>
    </xf>
    <xf numFmtId="0" fontId="7" fillId="14" borderId="2" xfId="0" applyFont="1" applyFill="1" applyBorder="1" applyAlignment="1">
      <alignment horizontal="center" wrapText="1"/>
    </xf>
    <xf numFmtId="1" fontId="7" fillId="14" borderId="2" xfId="0" applyNumberFormat="1" applyFont="1" applyFill="1" applyBorder="1"/>
    <xf numFmtId="0" fontId="7" fillId="13" borderId="2" xfId="0" applyFont="1" applyFill="1" applyBorder="1" applyAlignment="1">
      <alignment horizontal="center" wrapText="1"/>
    </xf>
    <xf numFmtId="2" fontId="7" fillId="13" borderId="2" xfId="0" applyNumberFormat="1" applyFont="1" applyFill="1" applyBorder="1" applyAlignment="1">
      <alignment horizontal="center" wrapText="1"/>
    </xf>
    <xf numFmtId="2" fontId="8" fillId="13" borderId="2" xfId="0" applyNumberFormat="1" applyFont="1" applyFill="1" applyBorder="1"/>
    <xf numFmtId="164" fontId="7" fillId="13" borderId="2" xfId="0" applyNumberFormat="1" applyFont="1" applyFill="1" applyBorder="1" applyAlignment="1">
      <alignment wrapText="1"/>
    </xf>
    <xf numFmtId="164" fontId="7" fillId="13" borderId="2" xfId="0" applyNumberFormat="1" applyFont="1" applyFill="1" applyBorder="1"/>
    <xf numFmtId="0" fontId="7" fillId="13" borderId="2" xfId="0" applyFont="1" applyFill="1" applyBorder="1" applyAlignment="1">
      <alignment horizontal="center"/>
    </xf>
    <xf numFmtId="0" fontId="7" fillId="15" borderId="2" xfId="0" applyFont="1" applyFill="1" applyBorder="1" applyAlignment="1">
      <alignment horizontal="center" wrapText="1"/>
    </xf>
    <xf numFmtId="2" fontId="7" fillId="15" borderId="2" xfId="0" applyNumberFormat="1" applyFont="1" applyFill="1" applyBorder="1" applyAlignment="1">
      <alignment horizontal="center" wrapText="1"/>
    </xf>
    <xf numFmtId="0" fontId="7" fillId="15" borderId="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2" fontId="7" fillId="16" borderId="2" xfId="0" applyNumberFormat="1" applyFont="1" applyFill="1" applyBorder="1" applyAlignment="1">
      <alignment horizontal="center" wrapText="1"/>
    </xf>
    <xf numFmtId="0" fontId="7" fillId="11" borderId="2" xfId="0" applyFont="1" applyFill="1" applyBorder="1" applyAlignment="1">
      <alignment horizontal="center" wrapText="1"/>
    </xf>
    <xf numFmtId="0" fontId="0" fillId="17" borderId="2" xfId="0" applyFill="1" applyBorder="1" applyAlignment="1">
      <alignment horizontal="center" vertical="center"/>
    </xf>
    <xf numFmtId="165" fontId="7" fillId="14" borderId="2" xfId="0" applyNumberFormat="1" applyFont="1" applyFill="1" applyBorder="1" applyAlignment="1">
      <alignment horizontal="center" wrapText="1"/>
    </xf>
    <xf numFmtId="0" fontId="7" fillId="14" borderId="5" xfId="0" applyFont="1" applyFill="1" applyBorder="1" applyAlignment="1">
      <alignment horizontal="center" wrapText="1"/>
    </xf>
    <xf numFmtId="11" fontId="7" fillId="14" borderId="5" xfId="0" applyNumberFormat="1" applyFont="1" applyFill="1" applyBorder="1" applyAlignment="1">
      <alignment horizontal="center" wrapText="1"/>
    </xf>
    <xf numFmtId="0" fontId="7" fillId="14" borderId="6" xfId="0" applyFont="1" applyFill="1" applyBorder="1" applyAlignment="1">
      <alignment horizontal="center"/>
    </xf>
    <xf numFmtId="0" fontId="7" fillId="14" borderId="6" xfId="0" applyFont="1" applyFill="1" applyBorder="1" applyAlignment="1">
      <alignment horizontal="left"/>
    </xf>
    <xf numFmtId="3" fontId="7" fillId="14" borderId="6" xfId="0" applyNumberFormat="1" applyFont="1" applyFill="1" applyBorder="1" applyAlignment="1">
      <alignment horizontal="center"/>
    </xf>
    <xf numFmtId="0" fontId="7" fillId="14" borderId="6" xfId="0" applyFont="1" applyFill="1" applyBorder="1"/>
    <xf numFmtId="1" fontId="7" fillId="12" borderId="6" xfId="0" applyNumberFormat="1" applyFont="1" applyFill="1" applyBorder="1" applyAlignment="1">
      <alignment horizontal="center"/>
    </xf>
    <xf numFmtId="2" fontId="7" fillId="12" borderId="6" xfId="0" applyNumberFormat="1" applyFont="1" applyFill="1" applyBorder="1" applyAlignment="1">
      <alignment horizontal="center"/>
    </xf>
    <xf numFmtId="1" fontId="8" fillId="12" borderId="6" xfId="0" applyNumberFormat="1" applyFont="1" applyFill="1" applyBorder="1" applyAlignment="1">
      <alignment horizontal="center"/>
    </xf>
    <xf numFmtId="2" fontId="7" fillId="13" borderId="6" xfId="0" applyNumberFormat="1" applyFont="1" applyFill="1" applyBorder="1"/>
    <xf numFmtId="2" fontId="7" fillId="14" borderId="6" xfId="0" applyNumberFormat="1" applyFont="1" applyFill="1" applyBorder="1" applyAlignment="1">
      <alignment horizontal="center"/>
    </xf>
    <xf numFmtId="1" fontId="7" fillId="14" borderId="6" xfId="0" applyNumberFormat="1" applyFont="1" applyFill="1" applyBorder="1"/>
    <xf numFmtId="0" fontId="7" fillId="13" borderId="6" xfId="0" applyFont="1" applyFill="1" applyBorder="1" applyAlignment="1">
      <alignment horizontal="center"/>
    </xf>
    <xf numFmtId="2" fontId="7" fillId="13" borderId="6" xfId="0" applyNumberFormat="1" applyFont="1" applyFill="1" applyBorder="1" applyAlignment="1">
      <alignment horizontal="center"/>
    </xf>
    <xf numFmtId="1" fontId="7" fillId="12" borderId="6" xfId="0" applyNumberFormat="1" applyFont="1" applyFill="1" applyBorder="1"/>
    <xf numFmtId="2" fontId="7" fillId="12" borderId="6" xfId="0" applyNumberFormat="1" applyFont="1" applyFill="1" applyBorder="1"/>
    <xf numFmtId="2" fontId="8" fillId="13" borderId="6" xfId="0" applyNumberFormat="1" applyFont="1" applyFill="1" applyBorder="1"/>
    <xf numFmtId="164" fontId="7" fillId="13" borderId="6" xfId="0" applyNumberFormat="1" applyFont="1" applyFill="1" applyBorder="1"/>
    <xf numFmtId="0" fontId="7" fillId="15" borderId="6" xfId="0" applyFont="1" applyFill="1" applyBorder="1" applyAlignment="1">
      <alignment horizontal="center"/>
    </xf>
    <xf numFmtId="2" fontId="7" fillId="15" borderId="6" xfId="0" applyNumberFormat="1" applyFont="1" applyFill="1" applyBorder="1" applyAlignment="1">
      <alignment horizontal="center"/>
    </xf>
    <xf numFmtId="0" fontId="7" fillId="16" borderId="6" xfId="0" applyFont="1" applyFill="1" applyBorder="1" applyAlignment="1">
      <alignment horizontal="center"/>
    </xf>
    <xf numFmtId="2" fontId="7" fillId="16" borderId="6" xfId="0" applyNumberFormat="1" applyFont="1" applyFill="1" applyBorder="1" applyAlignment="1">
      <alignment horizontal="center"/>
    </xf>
    <xf numFmtId="0" fontId="7" fillId="11" borderId="6" xfId="0" applyFont="1" applyFill="1" applyBorder="1" applyAlignment="1">
      <alignment horizontal="center"/>
    </xf>
    <xf numFmtId="0" fontId="0" fillId="18" borderId="6" xfId="0" applyFill="1" applyBorder="1" applyAlignment="1">
      <alignment horizontal="center" vertical="center"/>
    </xf>
    <xf numFmtId="165" fontId="7" fillId="14" borderId="6" xfId="0" applyNumberFormat="1" applyFont="1" applyFill="1" applyBorder="1" applyAlignment="1">
      <alignment horizontal="center"/>
    </xf>
    <xf numFmtId="1" fontId="7" fillId="14" borderId="6" xfId="0" applyNumberFormat="1" applyFont="1" applyFill="1" applyBorder="1" applyAlignment="1">
      <alignment horizontal="center"/>
    </xf>
    <xf numFmtId="0" fontId="10" fillId="19" borderId="5" xfId="0" applyFont="1" applyFill="1" applyBorder="1" applyAlignment="1">
      <alignment horizontal="center"/>
    </xf>
    <xf numFmtId="0" fontId="0" fillId="19" borderId="0" xfId="0" applyFill="1"/>
    <xf numFmtId="0" fontId="11" fillId="20" borderId="0" xfId="0" applyFont="1" applyFill="1"/>
    <xf numFmtId="2" fontId="6" fillId="7" borderId="9" xfId="0" applyNumberFormat="1" applyFont="1" applyFill="1" applyBorder="1"/>
    <xf numFmtId="164" fontId="6" fillId="8" borderId="9" xfId="0" applyNumberFormat="1" applyFont="1" applyFill="1" applyBorder="1"/>
    <xf numFmtId="2" fontId="1" fillId="8" borderId="9" xfId="0" applyNumberFormat="1" applyFont="1" applyFill="1" applyBorder="1"/>
    <xf numFmtId="0" fontId="2" fillId="7" borderId="9" xfId="0" applyFont="1" applyFill="1" applyBorder="1" applyAlignment="1">
      <alignment horizontal="center"/>
    </xf>
    <xf numFmtId="0" fontId="10" fillId="19" borderId="7" xfId="0" applyFont="1" applyFill="1" applyBorder="1"/>
    <xf numFmtId="0" fontId="0" fillId="19" borderId="7" xfId="0" applyFill="1" applyBorder="1"/>
    <xf numFmtId="0" fontId="0" fillId="19" borderId="8" xfId="0" applyFill="1" applyBorder="1"/>
    <xf numFmtId="0" fontId="10" fillId="19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10" fillId="19" borderId="2" xfId="0" applyFont="1" applyFill="1" applyBorder="1" applyAlignment="1">
      <alignment horizontal="center"/>
    </xf>
    <xf numFmtId="0" fontId="10" fillId="19" borderId="10" xfId="0" applyFont="1" applyFill="1" applyBorder="1"/>
    <xf numFmtId="0" fontId="10" fillId="19" borderId="2" xfId="0" applyFont="1" applyFill="1" applyBorder="1"/>
    <xf numFmtId="1" fontId="7" fillId="14" borderId="2" xfId="0" applyNumberFormat="1" applyFont="1" applyFill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/>
    </xf>
    <xf numFmtId="1" fontId="7" fillId="14" borderId="10" xfId="0" applyNumberFormat="1" applyFont="1" applyFill="1" applyBorder="1" applyAlignment="1">
      <alignment horizontal="center" wrapText="1"/>
    </xf>
    <xf numFmtId="1" fontId="7" fillId="14" borderId="12" xfId="0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7" fillId="14" borderId="15" xfId="0" applyFont="1" applyFill="1" applyBorder="1" applyAlignment="1">
      <alignment horizontal="center" wrapText="1"/>
    </xf>
    <xf numFmtId="0" fontId="7" fillId="14" borderId="16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7" fillId="0" borderId="0" xfId="0" applyNumberFormat="1" applyFont="1" applyBorder="1" applyAlignment="1">
      <alignment horizontal="center" vertical="center"/>
    </xf>
    <xf numFmtId="1" fontId="12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0" fillId="19" borderId="9" xfId="0" applyFont="1" applyFill="1" applyBorder="1"/>
    <xf numFmtId="0" fontId="0" fillId="0" borderId="19" xfId="0" applyBorder="1" applyAlignment="1">
      <alignment wrapText="1"/>
    </xf>
    <xf numFmtId="0" fontId="0" fillId="0" borderId="0" xfId="0" applyBorder="1"/>
    <xf numFmtId="2" fontId="0" fillId="0" borderId="0" xfId="0" applyNumberFormat="1"/>
  </cellXfs>
  <cellStyles count="1">
    <cellStyle name="Normal" xfId="0" builtinId="0"/>
  </cellStyles>
  <dxfs count="12">
    <dxf>
      <font>
        <b/>
        <i val="0"/>
      </font>
      <fill>
        <patternFill>
          <bgColor rgb="FF66FFFF"/>
        </patternFill>
      </fill>
    </dxf>
    <dxf>
      <font>
        <b/>
        <i val="0"/>
      </font>
      <fill>
        <patternFill>
          <bgColor rgb="FF66FFFF"/>
        </patternFill>
      </fill>
    </dxf>
    <dxf>
      <font>
        <b/>
        <i val="0"/>
      </font>
      <fill>
        <patternFill>
          <bgColor rgb="FF66FFFF"/>
        </patternFill>
      </fill>
    </dxf>
    <dxf>
      <font>
        <b/>
        <i val="0"/>
      </font>
      <fill>
        <patternFill>
          <bgColor rgb="FF66FFFF"/>
        </patternFill>
      </fill>
    </dxf>
    <dxf>
      <font>
        <b/>
        <i val="0"/>
      </font>
      <fill>
        <patternFill>
          <bgColor rgb="FF66FFFF"/>
        </patternFill>
      </fill>
    </dxf>
    <dxf>
      <font>
        <b/>
        <i val="0"/>
      </font>
      <fill>
        <patternFill>
          <bgColor rgb="FF66FFFF"/>
        </patternFill>
      </fill>
    </dxf>
    <dxf>
      <font>
        <b/>
        <i val="0"/>
      </font>
      <fill>
        <patternFill>
          <bgColor rgb="FF66FFFF"/>
        </patternFill>
      </fill>
    </dxf>
    <dxf>
      <font>
        <b/>
        <i val="0"/>
      </font>
      <fill>
        <patternFill>
          <bgColor rgb="FF66FFFF"/>
        </patternFill>
      </fill>
    </dxf>
    <dxf>
      <font>
        <b/>
        <i val="0"/>
      </font>
      <fill>
        <patternFill>
          <bgColor rgb="FF66FFFF"/>
        </patternFill>
      </fill>
    </dxf>
    <dxf>
      <font>
        <b/>
        <i val="0"/>
      </font>
      <fill>
        <patternFill>
          <bgColor rgb="FF66FFFF"/>
        </patternFill>
      </fill>
    </dxf>
    <dxf>
      <font>
        <b/>
        <i val="0"/>
      </font>
      <fill>
        <patternFill>
          <bgColor rgb="FF66FFFF"/>
        </patternFill>
      </fill>
    </dxf>
    <dxf>
      <font>
        <b/>
        <i val="0"/>
      </font>
      <fill>
        <patternFill>
          <bgColor rgb="FF66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B06E-9B94-5949-9F6D-052ED8A93A30}">
  <dimension ref="A1:CA347"/>
  <sheetViews>
    <sheetView tabSelected="1" zoomScale="70" zoomScaleNormal="70" workbookViewId="0">
      <selection activeCell="AS17" sqref="AS17"/>
    </sheetView>
  </sheetViews>
  <sheetFormatPr defaultColWidth="11" defaultRowHeight="15.75" x14ac:dyDescent="0.25"/>
  <cols>
    <col min="1" max="1" width="15.625" customWidth="1"/>
    <col min="2" max="2" width="20.875" customWidth="1"/>
    <col min="3" max="3" width="17.5" customWidth="1"/>
    <col min="5" max="5" width="15.375" customWidth="1"/>
    <col min="6" max="6" width="12.125" customWidth="1"/>
    <col min="7" max="14" width="7.875" customWidth="1"/>
    <col min="17" max="17" width="12.125" customWidth="1"/>
    <col min="22" max="22" width="13.125" customWidth="1"/>
    <col min="23" max="23" width="11.625" customWidth="1"/>
    <col min="33" max="40" width="7.875" customWidth="1"/>
    <col min="41" max="41" width="10.875" customWidth="1"/>
    <col min="42" max="42" width="12.125" customWidth="1"/>
    <col min="43" max="43" width="10.875" customWidth="1"/>
    <col min="44" max="44" width="11.125" customWidth="1"/>
    <col min="45" max="45" width="15.375" customWidth="1"/>
    <col min="46" max="46" width="13.125" customWidth="1"/>
    <col min="47" max="48" width="12.125" customWidth="1"/>
    <col min="49" max="49" width="12.125" hidden="1" customWidth="1"/>
    <col min="50" max="50" width="12.625" customWidth="1"/>
    <col min="58" max="58" width="13" customWidth="1"/>
    <col min="59" max="59" width="21.375" customWidth="1"/>
    <col min="66" max="66" width="10" customWidth="1"/>
    <col min="67" max="67" width="19.375" style="199" customWidth="1"/>
    <col min="68" max="68" width="16.375" style="199" customWidth="1"/>
    <col min="69" max="69" width="19.875" customWidth="1"/>
    <col min="79" max="79" width="12.875" bestFit="1" customWidth="1"/>
  </cols>
  <sheetData>
    <row r="1" spans="1:79" x14ac:dyDescent="0.25">
      <c r="A1" s="94"/>
      <c r="B1" s="95"/>
      <c r="C1" s="94"/>
      <c r="D1" s="96"/>
      <c r="E1" s="97"/>
      <c r="F1" s="97"/>
      <c r="G1" s="98" t="s">
        <v>1</v>
      </c>
      <c r="H1" s="99"/>
      <c r="I1" s="100"/>
      <c r="J1" s="99"/>
      <c r="K1" s="100"/>
      <c r="L1" s="99"/>
      <c r="M1" s="100"/>
      <c r="N1" s="99"/>
      <c r="O1" s="101"/>
      <c r="P1" s="102" t="s">
        <v>2</v>
      </c>
      <c r="Q1" s="102"/>
      <c r="R1" s="94"/>
      <c r="S1" s="94"/>
      <c r="T1" s="103"/>
      <c r="U1" s="103"/>
      <c r="V1" s="94"/>
      <c r="W1" s="94"/>
      <c r="X1" s="104"/>
      <c r="Y1" s="95"/>
      <c r="Z1" s="102" t="s">
        <v>3</v>
      </c>
      <c r="AA1" s="105"/>
      <c r="AB1" s="105"/>
      <c r="AC1" s="105"/>
      <c r="AD1" s="105"/>
      <c r="AE1" s="106"/>
      <c r="AF1" s="106"/>
      <c r="AG1" s="98" t="s">
        <v>4</v>
      </c>
      <c r="AH1" s="107"/>
      <c r="AI1" s="98"/>
      <c r="AJ1" s="107"/>
      <c r="AK1" s="98"/>
      <c r="AL1" s="107"/>
      <c r="AM1" s="98"/>
      <c r="AN1" s="107"/>
      <c r="AO1" s="101"/>
      <c r="AP1" s="108"/>
      <c r="AQ1" s="109"/>
      <c r="AR1" s="109"/>
      <c r="AS1" s="109" t="s">
        <v>5</v>
      </c>
      <c r="AT1" s="109"/>
      <c r="AU1" s="109"/>
      <c r="AV1" s="102"/>
      <c r="AW1" s="110"/>
      <c r="AX1" s="109"/>
      <c r="AY1" s="95"/>
      <c r="AZ1" s="111"/>
      <c r="BA1" s="94"/>
      <c r="BB1" s="94"/>
      <c r="BC1" s="94"/>
      <c r="BD1" s="103"/>
      <c r="BE1" s="103"/>
      <c r="BF1" s="94"/>
      <c r="BG1" s="112"/>
      <c r="BH1" s="96"/>
      <c r="BI1" s="113"/>
      <c r="BJ1" s="113"/>
      <c r="BK1" s="113"/>
      <c r="BL1" s="114"/>
      <c r="BM1" s="113"/>
      <c r="BN1" s="115"/>
      <c r="BQ1" s="113"/>
      <c r="BR1" s="113"/>
      <c r="BW1" s="116"/>
    </row>
    <row r="2" spans="1:79" ht="47.25" x14ac:dyDescent="0.25">
      <c r="A2" s="117"/>
      <c r="B2" s="118"/>
      <c r="C2" s="117"/>
      <c r="D2" s="119"/>
      <c r="E2" s="120" t="s">
        <v>6</v>
      </c>
      <c r="F2" s="120" t="s">
        <v>7</v>
      </c>
      <c r="G2" s="121" t="s">
        <v>8</v>
      </c>
      <c r="H2" s="122" t="s">
        <v>9</v>
      </c>
      <c r="I2" s="121" t="s">
        <v>10</v>
      </c>
      <c r="J2" s="122" t="s">
        <v>9</v>
      </c>
      <c r="K2" s="121" t="s">
        <v>11</v>
      </c>
      <c r="L2" s="122" t="s">
        <v>9</v>
      </c>
      <c r="M2" s="121" t="s">
        <v>12</v>
      </c>
      <c r="N2" s="122" t="s">
        <v>13</v>
      </c>
      <c r="O2" s="123" t="s">
        <v>14</v>
      </c>
      <c r="P2" s="124" t="s">
        <v>15</v>
      </c>
      <c r="Q2" s="125" t="s">
        <v>16</v>
      </c>
      <c r="R2" s="117" t="s">
        <v>17</v>
      </c>
      <c r="S2" s="117" t="s">
        <v>18</v>
      </c>
      <c r="T2" s="126" t="s">
        <v>19</v>
      </c>
      <c r="U2" s="126" t="s">
        <v>20</v>
      </c>
      <c r="V2" s="117" t="s">
        <v>21</v>
      </c>
      <c r="W2" s="127" t="s">
        <v>22</v>
      </c>
      <c r="X2" s="128" t="s">
        <v>6</v>
      </c>
      <c r="Y2" s="118"/>
      <c r="Z2" s="124" t="s">
        <v>15</v>
      </c>
      <c r="AA2" s="129" t="s">
        <v>23</v>
      </c>
      <c r="AB2" s="129" t="s">
        <v>24</v>
      </c>
      <c r="AC2" s="129" t="s">
        <v>25</v>
      </c>
      <c r="AD2" s="129" t="s">
        <v>26</v>
      </c>
      <c r="AE2" s="130" t="s">
        <v>27</v>
      </c>
      <c r="AF2" s="130" t="s">
        <v>28</v>
      </c>
      <c r="AG2" s="122" t="s">
        <v>8</v>
      </c>
      <c r="AH2" s="122" t="s">
        <v>9</v>
      </c>
      <c r="AI2" s="122" t="s">
        <v>10</v>
      </c>
      <c r="AJ2" s="122" t="s">
        <v>9</v>
      </c>
      <c r="AK2" s="122" t="s">
        <v>11</v>
      </c>
      <c r="AL2" s="122" t="s">
        <v>9</v>
      </c>
      <c r="AM2" s="122" t="s">
        <v>12</v>
      </c>
      <c r="AN2" s="122" t="s">
        <v>13</v>
      </c>
      <c r="AO2" s="123" t="s">
        <v>14</v>
      </c>
      <c r="AP2" s="131" t="s">
        <v>29</v>
      </c>
      <c r="AQ2" s="132" t="s">
        <v>30</v>
      </c>
      <c r="AR2" s="132" t="s">
        <v>31</v>
      </c>
      <c r="AS2" s="133" t="s">
        <v>32</v>
      </c>
      <c r="AT2" s="132" t="s">
        <v>33</v>
      </c>
      <c r="AU2" s="133" t="s">
        <v>34</v>
      </c>
      <c r="AV2" s="125" t="s">
        <v>35</v>
      </c>
      <c r="AW2" s="134" t="s">
        <v>36</v>
      </c>
      <c r="AX2" s="133" t="s">
        <v>37</v>
      </c>
      <c r="AY2" s="135" t="s">
        <v>38</v>
      </c>
      <c r="AZ2" s="136" t="s">
        <v>39</v>
      </c>
      <c r="BA2" s="137" t="s">
        <v>40</v>
      </c>
      <c r="BB2" s="135" t="s">
        <v>41</v>
      </c>
      <c r="BC2" s="138" t="s">
        <v>42</v>
      </c>
      <c r="BD2" s="139" t="s">
        <v>43</v>
      </c>
      <c r="BE2" s="139" t="s">
        <v>44</v>
      </c>
      <c r="BF2" s="140" t="s">
        <v>45</v>
      </c>
      <c r="BG2" s="141" t="s">
        <v>46</v>
      </c>
      <c r="BH2" s="119"/>
      <c r="BI2" s="127" t="s">
        <v>47</v>
      </c>
      <c r="BJ2" s="127" t="s">
        <v>48</v>
      </c>
      <c r="BK2" s="127" t="s">
        <v>49</v>
      </c>
      <c r="BL2" s="142" t="s">
        <v>50</v>
      </c>
      <c r="BM2" s="127" t="s">
        <v>51</v>
      </c>
      <c r="BN2" s="189" t="s">
        <v>52</v>
      </c>
      <c r="BO2" s="184" t="s">
        <v>84</v>
      </c>
      <c r="BP2" s="184" t="s">
        <v>85</v>
      </c>
      <c r="BQ2" s="194" t="s">
        <v>53</v>
      </c>
      <c r="BR2" s="127" t="s">
        <v>54</v>
      </c>
      <c r="BS2" s="143" t="s">
        <v>55</v>
      </c>
      <c r="BT2" s="143" t="s">
        <v>56</v>
      </c>
      <c r="BU2" s="143" t="s">
        <v>57</v>
      </c>
      <c r="BV2" s="143" t="s">
        <v>58</v>
      </c>
      <c r="BW2" s="144" t="s">
        <v>59</v>
      </c>
      <c r="BX2" s="143"/>
      <c r="BY2" s="143"/>
      <c r="BZ2" s="143"/>
      <c r="CA2" s="143"/>
    </row>
    <row r="3" spans="1:79" ht="16.5" thickBot="1" x14ac:dyDescent="0.3">
      <c r="A3" s="145" t="s">
        <v>60</v>
      </c>
      <c r="B3" s="146" t="s">
        <v>46</v>
      </c>
      <c r="C3" s="145" t="s">
        <v>61</v>
      </c>
      <c r="D3" s="147" t="s">
        <v>62</v>
      </c>
      <c r="E3" s="148" t="s">
        <v>63</v>
      </c>
      <c r="F3" s="148" t="s">
        <v>63</v>
      </c>
      <c r="G3" s="149" t="s">
        <v>64</v>
      </c>
      <c r="H3" s="150" t="s">
        <v>65</v>
      </c>
      <c r="I3" s="149" t="s">
        <v>64</v>
      </c>
      <c r="J3" s="150" t="s">
        <v>65</v>
      </c>
      <c r="K3" s="149" t="s">
        <v>64</v>
      </c>
      <c r="L3" s="150" t="s">
        <v>65</v>
      </c>
      <c r="M3" s="149" t="s">
        <v>64</v>
      </c>
      <c r="N3" s="150" t="s">
        <v>65</v>
      </c>
      <c r="O3" s="151" t="s">
        <v>64</v>
      </c>
      <c r="P3" s="152" t="s">
        <v>66</v>
      </c>
      <c r="Q3" s="152"/>
      <c r="R3" s="145" t="s">
        <v>67</v>
      </c>
      <c r="S3" s="145" t="s">
        <v>68</v>
      </c>
      <c r="T3" s="153" t="s">
        <v>68</v>
      </c>
      <c r="U3" s="153" t="s">
        <v>68</v>
      </c>
      <c r="V3" s="145" t="s">
        <v>69</v>
      </c>
      <c r="W3" s="145" t="s">
        <v>69</v>
      </c>
      <c r="X3" s="154" t="s">
        <v>70</v>
      </c>
      <c r="Y3" s="146" t="s">
        <v>71</v>
      </c>
      <c r="Z3" s="152" t="s">
        <v>66</v>
      </c>
      <c r="AA3" s="155" t="s">
        <v>64</v>
      </c>
      <c r="AB3" s="155"/>
      <c r="AC3" s="155" t="s">
        <v>67</v>
      </c>
      <c r="AD3" s="155" t="s">
        <v>68</v>
      </c>
      <c r="AE3" s="156" t="s">
        <v>68</v>
      </c>
      <c r="AF3" s="156" t="s">
        <v>68</v>
      </c>
      <c r="AG3" s="157" t="s">
        <v>64</v>
      </c>
      <c r="AH3" s="158" t="s">
        <v>65</v>
      </c>
      <c r="AI3" s="157" t="s">
        <v>64</v>
      </c>
      <c r="AJ3" s="158" t="s">
        <v>65</v>
      </c>
      <c r="AK3" s="157" t="s">
        <v>64</v>
      </c>
      <c r="AL3" s="158" t="s">
        <v>65</v>
      </c>
      <c r="AM3" s="157" t="s">
        <v>64</v>
      </c>
      <c r="AN3" s="158" t="s">
        <v>65</v>
      </c>
      <c r="AO3" s="151" t="s">
        <v>64</v>
      </c>
      <c r="AP3" s="159"/>
      <c r="AQ3" s="160" t="s">
        <v>72</v>
      </c>
      <c r="AR3" s="160" t="s">
        <v>73</v>
      </c>
      <c r="AS3" s="160" t="s">
        <v>74</v>
      </c>
      <c r="AT3" s="160" t="s">
        <v>75</v>
      </c>
      <c r="AU3" s="160"/>
      <c r="AV3" s="152"/>
      <c r="AW3" s="155"/>
      <c r="AX3" s="160" t="s">
        <v>34</v>
      </c>
      <c r="AY3" s="161" t="s">
        <v>68</v>
      </c>
      <c r="AZ3" s="162" t="s">
        <v>67</v>
      </c>
      <c r="BA3" s="161" t="s">
        <v>66</v>
      </c>
      <c r="BB3" s="161"/>
      <c r="BC3" s="163" t="s">
        <v>64</v>
      </c>
      <c r="BD3" s="164" t="s">
        <v>76</v>
      </c>
      <c r="BE3" s="164" t="s">
        <v>77</v>
      </c>
      <c r="BF3" s="165"/>
      <c r="BG3" s="166"/>
      <c r="BH3" s="147" t="s">
        <v>62</v>
      </c>
      <c r="BI3" s="145"/>
      <c r="BJ3" s="145" t="s">
        <v>78</v>
      </c>
      <c r="BK3" s="145"/>
      <c r="BL3" s="167"/>
      <c r="BM3" s="145" t="s">
        <v>79</v>
      </c>
      <c r="BN3" s="190"/>
      <c r="BO3" s="168"/>
      <c r="BP3" s="168"/>
      <c r="BQ3" s="195"/>
      <c r="BR3" s="145"/>
      <c r="BW3" s="116"/>
    </row>
    <row r="4" spans="1:79" s="3" customFormat="1" ht="17.25" thickTop="1" thickBot="1" x14ac:dyDescent="0.3">
      <c r="A4" s="1" t="s">
        <v>111</v>
      </c>
      <c r="B4" s="2" t="s">
        <v>98</v>
      </c>
      <c r="C4" s="32" t="s">
        <v>112</v>
      </c>
      <c r="D4" s="4">
        <v>10000</v>
      </c>
      <c r="E4" s="5"/>
      <c r="F4" s="5"/>
      <c r="G4" s="6"/>
      <c r="H4" s="7"/>
      <c r="I4" s="6"/>
      <c r="J4" s="7"/>
      <c r="K4" s="6"/>
      <c r="L4" s="7"/>
      <c r="M4" s="6"/>
      <c r="N4" s="7"/>
      <c r="O4" s="8"/>
      <c r="P4" s="9"/>
      <c r="Q4" s="9"/>
      <c r="T4" s="9"/>
      <c r="U4" s="9"/>
      <c r="V4" s="10" t="s">
        <v>104</v>
      </c>
      <c r="W4" s="11" t="s">
        <v>105</v>
      </c>
      <c r="X4" s="12">
        <v>13</v>
      </c>
      <c r="Z4" s="13">
        <v>12</v>
      </c>
      <c r="AE4" s="9"/>
      <c r="AF4" s="9"/>
      <c r="AG4" s="14"/>
      <c r="AH4" s="15"/>
      <c r="AI4" s="14"/>
      <c r="AJ4" s="15"/>
      <c r="AK4" s="14"/>
      <c r="AL4" s="15"/>
      <c r="AM4" s="14"/>
      <c r="AN4" s="15"/>
      <c r="AO4" s="16">
        <v>240</v>
      </c>
      <c r="AP4" s="17">
        <f t="shared" ref="AP4:AP9" si="0">(Z4/(660*AO4))*1000000</f>
        <v>75.757575757575751</v>
      </c>
      <c r="AQ4" s="18">
        <v>25</v>
      </c>
      <c r="AR4" s="19">
        <v>8</v>
      </c>
      <c r="AS4" s="20">
        <f t="shared" ref="AS4:AS9" si="1">AQ4*AR4/AP4</f>
        <v>2.64</v>
      </c>
      <c r="AT4" s="21">
        <f t="shared" ref="AT4:AT9" si="2">IF(AS4&lt;1,2,0)</f>
        <v>0</v>
      </c>
      <c r="AU4" s="21">
        <f t="shared" ref="AU4:AU9" si="3">IF(AND(AS4&gt;=0.1,AS4&lt;1),18,IF(AS4&lt;0.1,198,0))</f>
        <v>0</v>
      </c>
      <c r="AV4" s="22">
        <f t="shared" ref="AV4:AV9" si="4">IF(AT4&gt;0, (AS4*((AU4+AT4)/AT4)), 0)</f>
        <v>0</v>
      </c>
      <c r="AW4" s="23"/>
      <c r="AX4" s="21">
        <f t="shared" ref="AX4:AX9" si="5">IF(AV4=0, AQ4-AS4, AQ4-AV4)</f>
        <v>22.36</v>
      </c>
      <c r="AY4" s="24">
        <f t="shared" ref="AY4:AY9" si="6">AQ4</f>
        <v>25</v>
      </c>
      <c r="AZ4" s="25">
        <f t="shared" ref="AZ4:AZ9" si="7">((AR4*(660*AO4))/1000000)*AY4</f>
        <v>31.680000000000003</v>
      </c>
      <c r="BA4" s="26">
        <f>SUM(AZ4:AZ9)/SUM(AY4:AY9)</f>
        <v>1.2663199999999999</v>
      </c>
      <c r="BB4" s="26"/>
      <c r="BC4" s="26"/>
      <c r="BD4" s="26"/>
      <c r="BE4" s="26"/>
      <c r="BF4" s="27">
        <f>SUM(AX4:AX9)</f>
        <v>135.14385911642444</v>
      </c>
      <c r="BG4" s="28" t="str">
        <f t="shared" ref="BG4:BG9" si="8">B4</f>
        <v>PBMC_1</v>
      </c>
      <c r="BH4" s="4">
        <f t="shared" ref="BH4:BH9" si="9">D4</f>
        <v>10000</v>
      </c>
      <c r="BI4" s="11">
        <v>2.4</v>
      </c>
      <c r="BJ4" s="11" t="s">
        <v>113</v>
      </c>
      <c r="BK4" s="11">
        <v>60</v>
      </c>
      <c r="BL4" s="29">
        <f>1/BI4</f>
        <v>0.41666666666666669</v>
      </c>
      <c r="BM4" s="58">
        <v>1300000000</v>
      </c>
      <c r="BN4" s="191">
        <f t="shared" ref="BN4:BN9" si="10">(BM4/BH4)*BL4</f>
        <v>54166.666666666672</v>
      </c>
      <c r="BO4" s="188" t="s">
        <v>97</v>
      </c>
      <c r="BP4" s="185" t="s">
        <v>89</v>
      </c>
      <c r="BQ4" s="196"/>
      <c r="BR4" s="11"/>
      <c r="BW4" s="30"/>
    </row>
    <row r="5" spans="1:79" s="32" customFormat="1" ht="17.25" thickTop="1" thickBot="1" x14ac:dyDescent="0.3">
      <c r="A5" s="1" t="s">
        <v>111</v>
      </c>
      <c r="B5" s="31" t="s">
        <v>99</v>
      </c>
      <c r="C5" s="32" t="s">
        <v>112</v>
      </c>
      <c r="D5" s="4">
        <v>10000</v>
      </c>
      <c r="E5" s="34"/>
      <c r="F5" s="34"/>
      <c r="G5" s="35"/>
      <c r="H5" s="36"/>
      <c r="I5" s="35"/>
      <c r="J5" s="36"/>
      <c r="K5" s="35"/>
      <c r="L5" s="36"/>
      <c r="M5" s="35"/>
      <c r="N5" s="36"/>
      <c r="O5" s="37"/>
      <c r="P5" s="38"/>
      <c r="Q5" s="38"/>
      <c r="T5" s="38"/>
      <c r="U5" s="38"/>
      <c r="V5" s="10" t="s">
        <v>104</v>
      </c>
      <c r="W5" s="11" t="s">
        <v>106</v>
      </c>
      <c r="X5" s="12">
        <v>13</v>
      </c>
      <c r="Z5" s="42">
        <v>16.399999999999999</v>
      </c>
      <c r="AE5" s="38"/>
      <c r="AF5" s="38"/>
      <c r="AG5" s="43"/>
      <c r="AH5" s="44"/>
      <c r="AI5" s="43"/>
      <c r="AJ5" s="44"/>
      <c r="AK5" s="43"/>
      <c r="AL5" s="44"/>
      <c r="AM5" s="43"/>
      <c r="AN5" s="44"/>
      <c r="AO5" s="45">
        <v>242</v>
      </c>
      <c r="AP5" s="46">
        <f>(Z5/(660*AO5))*1000000</f>
        <v>102.67968945654896</v>
      </c>
      <c r="AQ5" s="47">
        <v>25</v>
      </c>
      <c r="AR5" s="19">
        <v>8</v>
      </c>
      <c r="AS5" s="49">
        <f t="shared" si="1"/>
        <v>1.9478048780487807</v>
      </c>
      <c r="AT5" s="50">
        <f t="shared" si="2"/>
        <v>0</v>
      </c>
      <c r="AU5" s="50">
        <f t="shared" si="3"/>
        <v>0</v>
      </c>
      <c r="AV5" s="51">
        <f t="shared" si="4"/>
        <v>0</v>
      </c>
      <c r="AW5" s="52"/>
      <c r="AX5" s="50">
        <f t="shared" si="5"/>
        <v>23.052195121951218</v>
      </c>
      <c r="AY5" s="53">
        <f t="shared" si="6"/>
        <v>25</v>
      </c>
      <c r="AZ5" s="54">
        <f t="shared" si="7"/>
        <v>31.943999999999999</v>
      </c>
      <c r="BC5" s="40"/>
      <c r="BD5" s="55"/>
      <c r="BE5" s="55"/>
      <c r="BG5" s="56" t="str">
        <f t="shared" si="8"/>
        <v>PBMC_2</v>
      </c>
      <c r="BH5" s="33">
        <f t="shared" si="9"/>
        <v>10000</v>
      </c>
      <c r="BI5" s="40">
        <v>2.4</v>
      </c>
      <c r="BJ5" s="11" t="s">
        <v>113</v>
      </c>
      <c r="BK5" s="11">
        <v>60</v>
      </c>
      <c r="BL5" s="29">
        <f>1/BI5</f>
        <v>0.41666666666666669</v>
      </c>
      <c r="BM5" s="58">
        <v>1300000000</v>
      </c>
      <c r="BN5" s="192">
        <f t="shared" si="10"/>
        <v>54166.666666666672</v>
      </c>
      <c r="BO5" s="188" t="s">
        <v>97</v>
      </c>
      <c r="BP5" s="186" t="s">
        <v>89</v>
      </c>
      <c r="BQ5" s="197"/>
      <c r="BR5" s="40"/>
      <c r="BW5" s="59"/>
    </row>
    <row r="6" spans="1:79" s="32" customFormat="1" ht="17.25" thickTop="1" thickBot="1" x14ac:dyDescent="0.3">
      <c r="A6" s="1" t="s">
        <v>111</v>
      </c>
      <c r="B6" s="31" t="s">
        <v>100</v>
      </c>
      <c r="C6" s="32" t="s">
        <v>112</v>
      </c>
      <c r="D6" s="4">
        <v>10000</v>
      </c>
      <c r="E6" s="34"/>
      <c r="F6" s="34"/>
      <c r="G6" s="35"/>
      <c r="H6" s="36"/>
      <c r="I6" s="35"/>
      <c r="J6" s="36"/>
      <c r="K6" s="35"/>
      <c r="L6" s="36"/>
      <c r="M6" s="35"/>
      <c r="N6" s="36"/>
      <c r="O6" s="37"/>
      <c r="P6" s="38"/>
      <c r="Q6" s="38"/>
      <c r="T6" s="38"/>
      <c r="U6" s="38"/>
      <c r="V6" s="10" t="s">
        <v>104</v>
      </c>
      <c r="W6" s="11" t="s">
        <v>107</v>
      </c>
      <c r="X6" s="12">
        <v>13</v>
      </c>
      <c r="Z6" s="42">
        <v>12.1</v>
      </c>
      <c r="AE6" s="38"/>
      <c r="AF6" s="38"/>
      <c r="AG6" s="43"/>
      <c r="AH6" s="44"/>
      <c r="AI6" s="43"/>
      <c r="AJ6" s="44"/>
      <c r="AK6" s="43"/>
      <c r="AL6" s="44"/>
      <c r="AM6" s="43"/>
      <c r="AN6" s="44"/>
      <c r="AO6" s="45">
        <v>246</v>
      </c>
      <c r="AP6" s="46">
        <f t="shared" si="0"/>
        <v>74.52574525745257</v>
      </c>
      <c r="AQ6" s="47">
        <v>25</v>
      </c>
      <c r="AR6" s="19">
        <v>8</v>
      </c>
      <c r="AS6" s="49">
        <f t="shared" si="1"/>
        <v>2.6836363636363636</v>
      </c>
      <c r="AT6" s="50">
        <f t="shared" si="2"/>
        <v>0</v>
      </c>
      <c r="AU6" s="50">
        <f t="shared" si="3"/>
        <v>0</v>
      </c>
      <c r="AV6" s="51">
        <f t="shared" si="4"/>
        <v>0</v>
      </c>
      <c r="AW6" s="52"/>
      <c r="AX6" s="50">
        <f t="shared" si="5"/>
        <v>22.316363636363636</v>
      </c>
      <c r="AY6" s="53">
        <f t="shared" si="6"/>
        <v>25</v>
      </c>
      <c r="AZ6" s="54">
        <f t="shared" si="7"/>
        <v>32.472000000000001</v>
      </c>
      <c r="BC6" s="40"/>
      <c r="BD6" s="55"/>
      <c r="BE6" s="55"/>
      <c r="BG6" s="56" t="str">
        <f t="shared" si="8"/>
        <v>PBMC_3</v>
      </c>
      <c r="BH6" s="33">
        <f t="shared" si="9"/>
        <v>10000</v>
      </c>
      <c r="BI6" s="40">
        <v>2.4</v>
      </c>
      <c r="BJ6" s="11" t="s">
        <v>113</v>
      </c>
      <c r="BK6" s="11">
        <v>60</v>
      </c>
      <c r="BL6" s="29">
        <f>1/BI6</f>
        <v>0.41666666666666669</v>
      </c>
      <c r="BM6" s="58">
        <v>1300000000</v>
      </c>
      <c r="BN6" s="192">
        <f t="shared" si="10"/>
        <v>54166.666666666672</v>
      </c>
      <c r="BO6" s="188" t="s">
        <v>97</v>
      </c>
      <c r="BP6" s="186" t="s">
        <v>89</v>
      </c>
      <c r="BQ6" s="197"/>
      <c r="BR6" s="40"/>
      <c r="BW6" s="59"/>
    </row>
    <row r="7" spans="1:79" s="32" customFormat="1" ht="17.25" thickTop="1" thickBot="1" x14ac:dyDescent="0.3">
      <c r="A7" s="1" t="s">
        <v>111</v>
      </c>
      <c r="B7" s="31" t="s">
        <v>101</v>
      </c>
      <c r="C7" s="32" t="s">
        <v>112</v>
      </c>
      <c r="D7" s="4">
        <v>10000</v>
      </c>
      <c r="E7" s="34"/>
      <c r="F7" s="34"/>
      <c r="G7" s="35"/>
      <c r="H7" s="36"/>
      <c r="I7" s="35"/>
      <c r="J7" s="36"/>
      <c r="K7" s="35"/>
      <c r="L7" s="36"/>
      <c r="M7" s="35"/>
      <c r="N7" s="36"/>
      <c r="O7" s="37"/>
      <c r="P7" s="38"/>
      <c r="Q7" s="38"/>
      <c r="T7" s="38"/>
      <c r="U7" s="38"/>
      <c r="V7" s="10" t="s">
        <v>104</v>
      </c>
      <c r="W7" s="11" t="s">
        <v>108</v>
      </c>
      <c r="X7" s="12">
        <v>13</v>
      </c>
      <c r="Z7" s="42">
        <v>11.6</v>
      </c>
      <c r="AE7" s="38"/>
      <c r="AF7" s="38"/>
      <c r="AG7" s="43"/>
      <c r="AH7" s="44"/>
      <c r="AI7" s="43"/>
      <c r="AJ7" s="44"/>
      <c r="AK7" s="43"/>
      <c r="AL7" s="44"/>
      <c r="AM7" s="43"/>
      <c r="AN7" s="44"/>
      <c r="AO7" s="45">
        <v>233</v>
      </c>
      <c r="AP7" s="46">
        <f t="shared" si="0"/>
        <v>75.432435947457407</v>
      </c>
      <c r="AQ7" s="47">
        <v>25</v>
      </c>
      <c r="AR7" s="19">
        <v>8</v>
      </c>
      <c r="AS7" s="49">
        <f t="shared" si="1"/>
        <v>2.6513793103448275</v>
      </c>
      <c r="AT7" s="50">
        <f t="shared" si="2"/>
        <v>0</v>
      </c>
      <c r="AU7" s="50">
        <f t="shared" si="3"/>
        <v>0</v>
      </c>
      <c r="AV7" s="51">
        <f t="shared" si="4"/>
        <v>0</v>
      </c>
      <c r="AW7" s="52"/>
      <c r="AX7" s="50">
        <f t="shared" si="5"/>
        <v>22.348620689655171</v>
      </c>
      <c r="AY7" s="53">
        <f t="shared" si="6"/>
        <v>25</v>
      </c>
      <c r="AZ7" s="54">
        <f t="shared" si="7"/>
        <v>30.756</v>
      </c>
      <c r="BC7" s="40"/>
      <c r="BD7" s="55"/>
      <c r="BE7" s="55"/>
      <c r="BG7" s="56" t="str">
        <f t="shared" si="8"/>
        <v>PBMC_4</v>
      </c>
      <c r="BH7" s="33">
        <f t="shared" si="9"/>
        <v>10000</v>
      </c>
      <c r="BI7" s="40">
        <v>2.4</v>
      </c>
      <c r="BJ7" s="11" t="s">
        <v>113</v>
      </c>
      <c r="BK7" s="11">
        <v>60</v>
      </c>
      <c r="BL7" s="29">
        <f t="shared" ref="BL7:BL9" si="11">1/BI7</f>
        <v>0.41666666666666669</v>
      </c>
      <c r="BM7" s="58">
        <v>1300000000</v>
      </c>
      <c r="BN7" s="192">
        <f t="shared" si="10"/>
        <v>54166.666666666672</v>
      </c>
      <c r="BO7" s="188" t="s">
        <v>97</v>
      </c>
      <c r="BP7" s="186" t="s">
        <v>89</v>
      </c>
      <c r="BQ7" s="197"/>
      <c r="BR7" s="40"/>
      <c r="BW7" s="59"/>
    </row>
    <row r="8" spans="1:79" s="32" customFormat="1" ht="17.25" thickTop="1" thickBot="1" x14ac:dyDescent="0.3">
      <c r="A8" s="1" t="s">
        <v>111</v>
      </c>
      <c r="B8" s="31" t="s">
        <v>102</v>
      </c>
      <c r="C8" s="32" t="s">
        <v>112</v>
      </c>
      <c r="D8" s="4">
        <v>10000</v>
      </c>
      <c r="E8" s="34"/>
      <c r="F8" s="34"/>
      <c r="G8" s="35"/>
      <c r="H8" s="36"/>
      <c r="I8" s="35"/>
      <c r="J8" s="36"/>
      <c r="K8" s="35"/>
      <c r="L8" s="36"/>
      <c r="M8" s="35"/>
      <c r="N8" s="36"/>
      <c r="O8" s="37"/>
      <c r="P8" s="38"/>
      <c r="Q8" s="38"/>
      <c r="T8" s="38"/>
      <c r="U8" s="38"/>
      <c r="V8" s="10" t="s">
        <v>104</v>
      </c>
      <c r="W8" s="11" t="s">
        <v>109</v>
      </c>
      <c r="X8" s="12">
        <v>13</v>
      </c>
      <c r="Z8" s="42">
        <v>8.4</v>
      </c>
      <c r="AE8" s="38"/>
      <c r="AF8" s="38"/>
      <c r="AG8" s="43"/>
      <c r="AH8" s="44"/>
      <c r="AI8" s="43"/>
      <c r="AJ8" s="44"/>
      <c r="AK8" s="43"/>
      <c r="AL8" s="44"/>
      <c r="AM8" s="43"/>
      <c r="AN8" s="44"/>
      <c r="AO8" s="45">
        <v>248</v>
      </c>
      <c r="AP8" s="46">
        <f t="shared" ref="AP8" si="12">(Z8/(660*AO8))*1000000</f>
        <v>51.319648093841643</v>
      </c>
      <c r="AQ8" s="47">
        <v>25</v>
      </c>
      <c r="AR8" s="19">
        <v>8</v>
      </c>
      <c r="AS8" s="49">
        <f t="shared" ref="AS8" si="13">AQ8*AR8/AP8</f>
        <v>3.8971428571428572</v>
      </c>
      <c r="AT8" s="50">
        <f t="shared" ref="AT8" si="14">IF(AS8&lt;1,2,0)</f>
        <v>0</v>
      </c>
      <c r="AU8" s="50">
        <f t="shared" ref="AU8" si="15">IF(AND(AS8&gt;=0.1,AS8&lt;1),18,IF(AS8&lt;0.1,198,0))</f>
        <v>0</v>
      </c>
      <c r="AV8" s="51">
        <f t="shared" ref="AV8" si="16">IF(AT8&gt;0, (AS8*((AU8+AT8)/AT8)), 0)</f>
        <v>0</v>
      </c>
      <c r="AW8" s="52"/>
      <c r="AX8" s="50">
        <f t="shared" ref="AX8" si="17">IF(AV8=0, AQ8-AS8, AQ8-AV8)</f>
        <v>21.102857142857143</v>
      </c>
      <c r="AY8" s="53">
        <f t="shared" ref="AY8" si="18">AQ8</f>
        <v>25</v>
      </c>
      <c r="AZ8" s="54">
        <f t="shared" ref="AZ8" si="19">((AR8*(660*AO8))/1000000)*AY8</f>
        <v>32.735999999999997</v>
      </c>
      <c r="BC8" s="40"/>
      <c r="BD8" s="55"/>
      <c r="BE8" s="55"/>
      <c r="BG8" s="56" t="str">
        <f t="shared" ref="BG8" si="20">B8</f>
        <v>PBMC_5</v>
      </c>
      <c r="BH8" s="33">
        <f t="shared" ref="BH8" si="21">D8</f>
        <v>10000</v>
      </c>
      <c r="BI8" s="40">
        <v>2.4</v>
      </c>
      <c r="BJ8" s="11" t="s">
        <v>113</v>
      </c>
      <c r="BK8" s="11">
        <v>60</v>
      </c>
      <c r="BL8" s="29">
        <f t="shared" si="11"/>
        <v>0.41666666666666669</v>
      </c>
      <c r="BM8" s="58">
        <v>1300000000</v>
      </c>
      <c r="BN8" s="192">
        <f t="shared" ref="BN8" si="22">(BM8/BH8)*BL8</f>
        <v>54166.666666666672</v>
      </c>
      <c r="BO8" s="188" t="s">
        <v>97</v>
      </c>
      <c r="BP8" s="186" t="s">
        <v>89</v>
      </c>
      <c r="BQ8" s="197"/>
      <c r="BR8" s="40"/>
      <c r="BW8" s="59"/>
    </row>
    <row r="9" spans="1:79" s="32" customFormat="1" ht="16.5" thickTop="1" x14ac:dyDescent="0.25">
      <c r="A9" s="1" t="s">
        <v>111</v>
      </c>
      <c r="B9" s="31" t="s">
        <v>103</v>
      </c>
      <c r="C9" s="32" t="s">
        <v>112</v>
      </c>
      <c r="D9" s="4">
        <v>10000</v>
      </c>
      <c r="E9" s="34"/>
      <c r="F9" s="34"/>
      <c r="G9" s="35"/>
      <c r="H9" s="36"/>
      <c r="I9" s="35"/>
      <c r="J9" s="36"/>
      <c r="K9" s="35"/>
      <c r="L9" s="36"/>
      <c r="M9" s="35"/>
      <c r="N9" s="36"/>
      <c r="O9" s="37"/>
      <c r="P9" s="38"/>
      <c r="Q9" s="38"/>
      <c r="T9" s="38"/>
      <c r="U9" s="38"/>
      <c r="V9" s="10" t="s">
        <v>104</v>
      </c>
      <c r="W9" s="11" t="s">
        <v>110</v>
      </c>
      <c r="X9" s="12">
        <v>13</v>
      </c>
      <c r="Z9" s="42">
        <v>29.3</v>
      </c>
      <c r="AE9" s="38"/>
      <c r="AF9" s="38"/>
      <c r="AG9" s="43"/>
      <c r="AH9" s="44"/>
      <c r="AI9" s="43"/>
      <c r="AJ9" s="44"/>
      <c r="AK9" s="43"/>
      <c r="AL9" s="44"/>
      <c r="AM9" s="43"/>
      <c r="AN9" s="44"/>
      <c r="AO9" s="45">
        <v>230</v>
      </c>
      <c r="AP9" s="46">
        <f t="shared" si="0"/>
        <v>193.0171277997365</v>
      </c>
      <c r="AQ9" s="47">
        <v>25</v>
      </c>
      <c r="AR9" s="19">
        <v>8</v>
      </c>
      <c r="AS9" s="49">
        <f t="shared" si="1"/>
        <v>1.0361774744027303</v>
      </c>
      <c r="AT9" s="50">
        <f t="shared" si="2"/>
        <v>0</v>
      </c>
      <c r="AU9" s="50">
        <f t="shared" si="3"/>
        <v>0</v>
      </c>
      <c r="AV9" s="51">
        <f t="shared" si="4"/>
        <v>0</v>
      </c>
      <c r="AW9" s="52"/>
      <c r="AX9" s="50">
        <f t="shared" si="5"/>
        <v>23.963822525597269</v>
      </c>
      <c r="AY9" s="53">
        <f t="shared" si="6"/>
        <v>25</v>
      </c>
      <c r="AZ9" s="54">
        <f t="shared" si="7"/>
        <v>30.36</v>
      </c>
      <c r="BC9" s="40"/>
      <c r="BD9" s="55"/>
      <c r="BE9" s="55"/>
      <c r="BG9" s="56" t="str">
        <f t="shared" si="8"/>
        <v>PBMC_6</v>
      </c>
      <c r="BH9" s="33">
        <f t="shared" si="9"/>
        <v>10000</v>
      </c>
      <c r="BI9" s="40">
        <v>2.4</v>
      </c>
      <c r="BJ9" s="11" t="s">
        <v>113</v>
      </c>
      <c r="BK9" s="11">
        <v>60</v>
      </c>
      <c r="BL9" s="29">
        <f t="shared" si="11"/>
        <v>0.41666666666666669</v>
      </c>
      <c r="BM9" s="58">
        <v>1300000000</v>
      </c>
      <c r="BN9" s="192">
        <f t="shared" si="10"/>
        <v>54166.666666666672</v>
      </c>
      <c r="BO9" s="188" t="s">
        <v>97</v>
      </c>
      <c r="BP9" s="186" t="s">
        <v>89</v>
      </c>
      <c r="BQ9" s="197"/>
      <c r="BR9" s="40"/>
      <c r="BW9" s="59"/>
    </row>
    <row r="10" spans="1:79" s="63" customFormat="1" ht="16.5" thickBot="1" x14ac:dyDescent="0.3">
      <c r="A10" s="61"/>
      <c r="B10" s="62"/>
      <c r="D10" s="64"/>
      <c r="E10" s="65"/>
      <c r="F10" s="65"/>
      <c r="G10" s="66"/>
      <c r="H10" s="67"/>
      <c r="I10" s="66"/>
      <c r="J10" s="67"/>
      <c r="K10" s="66"/>
      <c r="L10" s="67"/>
      <c r="M10" s="66"/>
      <c r="N10" s="67"/>
      <c r="O10" s="68"/>
      <c r="P10" s="69"/>
      <c r="Q10" s="69"/>
      <c r="T10" s="69"/>
      <c r="U10" s="69"/>
      <c r="V10" s="70"/>
      <c r="W10" s="71"/>
      <c r="X10" s="72"/>
      <c r="Z10" s="73"/>
      <c r="AE10" s="69"/>
      <c r="AF10" s="69"/>
      <c r="AG10" s="74"/>
      <c r="AH10" s="75"/>
      <c r="AI10" s="74"/>
      <c r="AJ10" s="75"/>
      <c r="AK10" s="74"/>
      <c r="AL10" s="75"/>
      <c r="AM10" s="74"/>
      <c r="AN10" s="75"/>
      <c r="AO10" s="76"/>
      <c r="AP10" s="77"/>
      <c r="AQ10" s="78"/>
      <c r="AR10" s="79"/>
      <c r="AS10" s="80"/>
      <c r="AT10" s="81"/>
      <c r="AU10" s="81"/>
      <c r="AV10" s="82"/>
      <c r="AW10" s="83"/>
      <c r="AX10" s="81"/>
      <c r="AY10" s="84"/>
      <c r="AZ10" s="85"/>
      <c r="BC10" s="71"/>
      <c r="BD10" s="86"/>
      <c r="BE10" s="86"/>
      <c r="BG10" s="87"/>
      <c r="BH10" s="64"/>
      <c r="BI10" s="71"/>
      <c r="BJ10" s="71"/>
      <c r="BK10" s="71"/>
      <c r="BL10" s="88"/>
      <c r="BM10" s="89"/>
      <c r="BN10" s="193"/>
      <c r="BO10" s="187"/>
      <c r="BP10" s="187"/>
      <c r="BQ10" s="198"/>
      <c r="BR10" s="71"/>
      <c r="BW10" s="90"/>
    </row>
    <row r="11" spans="1:79" s="32" customFormat="1" ht="17.25" thickTop="1" thickBot="1" x14ac:dyDescent="0.3">
      <c r="A11" s="1" t="s">
        <v>111</v>
      </c>
      <c r="B11" s="31" t="s">
        <v>0</v>
      </c>
      <c r="C11" s="32" t="s">
        <v>112</v>
      </c>
      <c r="D11" s="33"/>
      <c r="E11" s="34"/>
      <c r="F11" s="34"/>
      <c r="G11" s="35"/>
      <c r="H11" s="36"/>
      <c r="I11" s="35"/>
      <c r="J11" s="36"/>
      <c r="K11" s="35"/>
      <c r="L11" s="36"/>
      <c r="M11" s="91"/>
      <c r="N11" s="92"/>
      <c r="O11" s="60"/>
      <c r="P11" s="38"/>
      <c r="Q11" s="38"/>
      <c r="T11" s="38"/>
      <c r="U11" s="38"/>
      <c r="V11" s="39"/>
      <c r="W11" s="40"/>
      <c r="X11" s="41"/>
      <c r="Z11" s="42"/>
      <c r="AE11" s="38"/>
      <c r="AF11" s="38"/>
      <c r="AG11" s="43"/>
      <c r="AH11" s="44"/>
      <c r="AI11" s="43"/>
      <c r="AJ11" s="44"/>
      <c r="AK11" s="43">
        <v>222</v>
      </c>
      <c r="AL11" s="44">
        <v>5.28E-2</v>
      </c>
      <c r="AM11" s="43">
        <v>420</v>
      </c>
      <c r="AN11" s="44">
        <v>1.77</v>
      </c>
      <c r="AO11" s="93">
        <f t="shared" ref="AO11" si="23">((AG11*(AH11/AN11))+(AI11*(AJ11/AN11))+(AK11*(AL11/AN11))+(AM11*(AN11/AN11)))/((AH11/AN11)+(AJ11/AN11)+(AL11/AN11)+(AN11/AN11))</f>
        <v>414.26464779460173</v>
      </c>
      <c r="AP11" s="46">
        <f>(Z11/(660*AO11))*1000000</f>
        <v>0</v>
      </c>
      <c r="AQ11" s="47"/>
      <c r="AR11" s="48"/>
      <c r="AS11" s="172" t="e">
        <f t="shared" ref="AS11" si="24">AQ11*AR11/AP11</f>
        <v>#DIV/0!</v>
      </c>
      <c r="AT11" s="173" t="e">
        <f t="shared" ref="AT11" si="25">IF(AS11&lt;1,1,0)</f>
        <v>#DIV/0!</v>
      </c>
      <c r="AU11" s="173" t="e">
        <f t="shared" ref="AU11" si="26">IF(AND(AS11&gt;=0.1,AS11&lt;1),9,IF(AS11&lt;0.1,99,0))</f>
        <v>#DIV/0!</v>
      </c>
      <c r="AV11" s="174" t="e">
        <f t="shared" ref="AV11" si="27">IF(AT11&gt;0, (AS11*((AU11+AT11)/AT11)), 0)</f>
        <v>#DIV/0!</v>
      </c>
      <c r="AW11" s="175"/>
      <c r="AX11" s="173" t="e">
        <f>IF(AV11=0, AQ11-AS11, AQ11-AV11)</f>
        <v>#DIV/0!</v>
      </c>
      <c r="AY11" s="53">
        <f>AQ11</f>
        <v>0</v>
      </c>
      <c r="AZ11" s="54">
        <f>((AR11*(660*AO11))/1000000)*AY11</f>
        <v>0</v>
      </c>
      <c r="BA11" s="26" t="e">
        <f>SUM(AZ11:AZ24)/SUM(AY11:AY24)</f>
        <v>#DIV/0!</v>
      </c>
      <c r="BB11" s="26"/>
      <c r="BC11" s="26"/>
      <c r="BD11" s="26"/>
      <c r="BE11" s="26"/>
      <c r="BF11" s="27" t="e">
        <f>SUM(AX11:AX24)</f>
        <v>#DIV/0!</v>
      </c>
      <c r="BG11" s="56" t="str">
        <f>B11</f>
        <v>pool</v>
      </c>
      <c r="BH11" s="33">
        <f>D11</f>
        <v>0</v>
      </c>
      <c r="BI11" s="40">
        <v>1000</v>
      </c>
      <c r="BJ11" s="40" t="s">
        <v>80</v>
      </c>
      <c r="BK11" s="40">
        <v>102</v>
      </c>
      <c r="BL11" s="57" t="e">
        <f t="shared" ref="BL11" si="28">BI11/$BI$132</f>
        <v>#DIV/0!</v>
      </c>
      <c r="BM11" s="58">
        <v>400000002</v>
      </c>
      <c r="BN11" s="192" t="e">
        <f t="shared" ref="BN11" si="29">(BM11/BH11)*BL11</f>
        <v>#DIV/0!</v>
      </c>
      <c r="BO11" s="185"/>
      <c r="BP11" s="185"/>
      <c r="BQ11" s="197"/>
      <c r="BR11" s="40"/>
      <c r="BW11" s="59"/>
    </row>
    <row r="12" spans="1:79" s="170" customFormat="1" ht="27" thickBot="1" x14ac:dyDescent="0.45">
      <c r="A12" s="181" t="s">
        <v>81</v>
      </c>
      <c r="B12" s="181" t="s">
        <v>81</v>
      </c>
      <c r="C12" s="182" t="s">
        <v>81</v>
      </c>
      <c r="D12" s="183" t="s">
        <v>81</v>
      </c>
      <c r="R12" s="181" t="s">
        <v>81</v>
      </c>
      <c r="V12" s="183" t="s">
        <v>81</v>
      </c>
      <c r="W12" s="183" t="s">
        <v>81</v>
      </c>
      <c r="X12" s="183" t="s">
        <v>81</v>
      </c>
      <c r="Z12" s="181" t="s">
        <v>81</v>
      </c>
      <c r="AL12" s="171" t="s">
        <v>81</v>
      </c>
      <c r="AO12" s="183" t="s">
        <v>81</v>
      </c>
      <c r="AP12" s="183" t="s">
        <v>81</v>
      </c>
      <c r="AQ12" s="183" t="s">
        <v>81</v>
      </c>
      <c r="AR12" s="203" t="s">
        <v>81</v>
      </c>
      <c r="AS12" s="176" t="s">
        <v>82</v>
      </c>
      <c r="AT12" s="176"/>
      <c r="AU12" s="176"/>
      <c r="AV12" s="176"/>
      <c r="AW12" s="177"/>
      <c r="AX12" s="178"/>
      <c r="BG12" s="179"/>
    </row>
    <row r="13" spans="1:79" ht="50.25" thickBot="1" x14ac:dyDescent="0.45">
      <c r="A13" s="169" t="s">
        <v>81</v>
      </c>
      <c r="B13" s="180" t="s">
        <v>83</v>
      </c>
      <c r="AH13" s="205"/>
      <c r="AI13" s="205"/>
      <c r="AJ13" s="205"/>
      <c r="AK13" s="205"/>
      <c r="AL13" s="205"/>
      <c r="AM13" s="205"/>
      <c r="AN13" s="205"/>
      <c r="AR13" s="204" t="s">
        <v>96</v>
      </c>
      <c r="BO13" s="200"/>
      <c r="BP13" s="200"/>
    </row>
    <row r="14" spans="1:79" x14ac:dyDescent="0.25">
      <c r="BO14" s="200"/>
      <c r="BP14" s="200"/>
    </row>
    <row r="15" spans="1:79" x14ac:dyDescent="0.25">
      <c r="BO15" s="200"/>
      <c r="BP15" s="200"/>
    </row>
    <row r="16" spans="1:79" x14ac:dyDescent="0.25">
      <c r="BO16" s="200"/>
      <c r="BP16" s="200"/>
    </row>
    <row r="17" spans="45:68" x14ac:dyDescent="0.25">
      <c r="AS17" s="206"/>
      <c r="BO17" s="200"/>
      <c r="BP17" s="200"/>
    </row>
    <row r="18" spans="45:68" x14ac:dyDescent="0.25">
      <c r="BO18" s="200"/>
      <c r="BP18" s="200"/>
    </row>
    <row r="19" spans="45:68" x14ac:dyDescent="0.25">
      <c r="BO19" s="200"/>
      <c r="BP19" s="200"/>
    </row>
    <row r="20" spans="45:68" x14ac:dyDescent="0.25">
      <c r="BO20" s="200"/>
      <c r="BP20" s="200"/>
    </row>
    <row r="21" spans="45:68" x14ac:dyDescent="0.25">
      <c r="BO21" s="200"/>
      <c r="BP21" s="200"/>
    </row>
    <row r="22" spans="45:68" x14ac:dyDescent="0.25">
      <c r="BO22" s="200"/>
      <c r="BP22" s="200"/>
    </row>
    <row r="23" spans="45:68" x14ac:dyDescent="0.25">
      <c r="BO23" s="200"/>
      <c r="BP23" s="200"/>
    </row>
    <row r="24" spans="45:68" x14ac:dyDescent="0.25">
      <c r="BO24" s="200"/>
      <c r="BP24" s="200"/>
    </row>
    <row r="25" spans="45:68" x14ac:dyDescent="0.25">
      <c r="BO25" s="200"/>
      <c r="BP25" s="200"/>
    </row>
    <row r="26" spans="45:68" x14ac:dyDescent="0.25">
      <c r="BO26" s="200"/>
      <c r="BP26" s="200"/>
    </row>
    <row r="27" spans="45:68" x14ac:dyDescent="0.25">
      <c r="BO27" s="200"/>
      <c r="BP27" s="200"/>
    </row>
    <row r="28" spans="45:68" x14ac:dyDescent="0.25">
      <c r="BO28" s="200"/>
      <c r="BP28" s="200"/>
    </row>
    <row r="29" spans="45:68" x14ac:dyDescent="0.25">
      <c r="BO29" s="200"/>
      <c r="BP29" s="200"/>
    </row>
    <row r="30" spans="45:68" x14ac:dyDescent="0.25">
      <c r="BO30" s="200"/>
      <c r="BP30" s="200"/>
    </row>
    <row r="31" spans="45:68" x14ac:dyDescent="0.25">
      <c r="BO31" s="200"/>
      <c r="BP31" s="200"/>
    </row>
    <row r="32" spans="45:68" x14ac:dyDescent="0.25">
      <c r="BO32" s="200"/>
      <c r="BP32" s="200"/>
    </row>
    <row r="33" spans="67:68" x14ac:dyDescent="0.25">
      <c r="BO33" s="200"/>
      <c r="BP33" s="200"/>
    </row>
    <row r="34" spans="67:68" x14ac:dyDescent="0.25">
      <c r="BO34" s="200"/>
      <c r="BP34" s="200"/>
    </row>
    <row r="35" spans="67:68" x14ac:dyDescent="0.25">
      <c r="BO35" s="200"/>
      <c r="BP35" s="200"/>
    </row>
    <row r="36" spans="67:68" x14ac:dyDescent="0.25">
      <c r="BO36" s="200"/>
      <c r="BP36" s="200"/>
    </row>
    <row r="37" spans="67:68" x14ac:dyDescent="0.25">
      <c r="BO37" s="200"/>
      <c r="BP37" s="200"/>
    </row>
    <row r="38" spans="67:68" x14ac:dyDescent="0.25">
      <c r="BO38" s="200"/>
      <c r="BP38" s="200"/>
    </row>
    <row r="106" spans="67:68" x14ac:dyDescent="0.25">
      <c r="BP106" s="199" t="s">
        <v>86</v>
      </c>
    </row>
    <row r="107" spans="67:68" x14ac:dyDescent="0.25">
      <c r="BP107" s="199" t="s">
        <v>86</v>
      </c>
    </row>
    <row r="108" spans="67:68" x14ac:dyDescent="0.25">
      <c r="BP108" s="199" t="s">
        <v>86</v>
      </c>
    </row>
    <row r="109" spans="67:68" x14ac:dyDescent="0.25">
      <c r="BP109" s="199" t="s">
        <v>86</v>
      </c>
    </row>
    <row r="110" spans="67:68" x14ac:dyDescent="0.25">
      <c r="BP110" s="199" t="s">
        <v>86</v>
      </c>
    </row>
    <row r="112" spans="67:68" x14ac:dyDescent="0.25">
      <c r="BO112" s="201" t="s">
        <v>87</v>
      </c>
      <c r="BP112" s="199" t="s">
        <v>86</v>
      </c>
    </row>
    <row r="113" spans="67:68" x14ac:dyDescent="0.25">
      <c r="BO113" s="202" t="s">
        <v>87</v>
      </c>
      <c r="BP113" s="199" t="s">
        <v>86</v>
      </c>
    </row>
    <row r="114" spans="67:68" x14ac:dyDescent="0.25">
      <c r="BO114" s="202" t="s">
        <v>87</v>
      </c>
      <c r="BP114" s="199" t="s">
        <v>86</v>
      </c>
    </row>
    <row r="115" spans="67:68" x14ac:dyDescent="0.25">
      <c r="BO115" s="202" t="s">
        <v>87</v>
      </c>
      <c r="BP115" s="199" t="s">
        <v>86</v>
      </c>
    </row>
    <row r="118" spans="67:68" x14ac:dyDescent="0.25">
      <c r="BO118" s="201" t="s">
        <v>88</v>
      </c>
      <c r="BP118" s="199" t="s">
        <v>89</v>
      </c>
    </row>
    <row r="119" spans="67:68" x14ac:dyDescent="0.25">
      <c r="BO119" s="201" t="s">
        <v>88</v>
      </c>
      <c r="BP119" s="199" t="s">
        <v>89</v>
      </c>
    </row>
    <row r="120" spans="67:68" x14ac:dyDescent="0.25">
      <c r="BO120" s="201" t="s">
        <v>88</v>
      </c>
      <c r="BP120" s="199" t="s">
        <v>89</v>
      </c>
    </row>
    <row r="121" spans="67:68" x14ac:dyDescent="0.25">
      <c r="BO121" s="201" t="s">
        <v>88</v>
      </c>
      <c r="BP121" s="199" t="s">
        <v>89</v>
      </c>
    </row>
    <row r="122" spans="67:68" x14ac:dyDescent="0.25">
      <c r="BO122" s="201" t="s">
        <v>88</v>
      </c>
      <c r="BP122" s="199" t="s">
        <v>89</v>
      </c>
    </row>
    <row r="123" spans="67:68" x14ac:dyDescent="0.25">
      <c r="BO123" s="201" t="s">
        <v>88</v>
      </c>
      <c r="BP123" s="199" t="s">
        <v>89</v>
      </c>
    </row>
    <row r="125" spans="67:68" x14ac:dyDescent="0.25">
      <c r="BO125" s="201" t="s">
        <v>87</v>
      </c>
      <c r="BP125" s="199" t="s">
        <v>89</v>
      </c>
    </row>
    <row r="126" spans="67:68" x14ac:dyDescent="0.25">
      <c r="BO126" s="202" t="s">
        <v>87</v>
      </c>
      <c r="BP126" s="199" t="s">
        <v>89</v>
      </c>
    </row>
    <row r="127" spans="67:68" x14ac:dyDescent="0.25">
      <c r="BO127" s="202" t="s">
        <v>87</v>
      </c>
      <c r="BP127" s="199" t="s">
        <v>89</v>
      </c>
    </row>
    <row r="128" spans="67:68" x14ac:dyDescent="0.25">
      <c r="BO128" s="202" t="s">
        <v>87</v>
      </c>
      <c r="BP128" s="199" t="s">
        <v>89</v>
      </c>
    </row>
    <row r="129" spans="67:68" x14ac:dyDescent="0.25">
      <c r="BO129" s="202" t="s">
        <v>87</v>
      </c>
      <c r="BP129" s="199" t="s">
        <v>89</v>
      </c>
    </row>
    <row r="130" spans="67:68" x14ac:dyDescent="0.25">
      <c r="BO130" s="202" t="s">
        <v>87</v>
      </c>
      <c r="BP130" s="199" t="s">
        <v>89</v>
      </c>
    </row>
    <row r="131" spans="67:68" x14ac:dyDescent="0.25">
      <c r="BO131" s="202" t="s">
        <v>87</v>
      </c>
      <c r="BP131" s="199" t="s">
        <v>89</v>
      </c>
    </row>
    <row r="134" spans="67:68" x14ac:dyDescent="0.25">
      <c r="BO134" s="201" t="s">
        <v>90</v>
      </c>
      <c r="BP134" s="199" t="s">
        <v>89</v>
      </c>
    </row>
    <row r="135" spans="67:68" x14ac:dyDescent="0.25">
      <c r="BO135" s="202" t="s">
        <v>90</v>
      </c>
      <c r="BP135" s="199" t="s">
        <v>89</v>
      </c>
    </row>
    <row r="136" spans="67:68" x14ac:dyDescent="0.25">
      <c r="BO136" s="202" t="s">
        <v>90</v>
      </c>
      <c r="BP136" s="199" t="s">
        <v>89</v>
      </c>
    </row>
    <row r="137" spans="67:68" x14ac:dyDescent="0.25">
      <c r="BO137" s="202" t="s">
        <v>90</v>
      </c>
      <c r="BP137" s="199" t="s">
        <v>89</v>
      </c>
    </row>
    <row r="138" spans="67:68" x14ac:dyDescent="0.25">
      <c r="BO138" s="202" t="s">
        <v>90</v>
      </c>
      <c r="BP138" s="199" t="s">
        <v>89</v>
      </c>
    </row>
    <row r="139" spans="67:68" x14ac:dyDescent="0.25">
      <c r="BO139" s="202" t="s">
        <v>90</v>
      </c>
      <c r="BP139" s="199" t="s">
        <v>89</v>
      </c>
    </row>
    <row r="141" spans="67:68" x14ac:dyDescent="0.25">
      <c r="BO141" s="201" t="s">
        <v>87</v>
      </c>
      <c r="BP141" s="199" t="s">
        <v>91</v>
      </c>
    </row>
    <row r="142" spans="67:68" x14ac:dyDescent="0.25">
      <c r="BO142" s="202" t="s">
        <v>87</v>
      </c>
      <c r="BP142" s="199" t="s">
        <v>91</v>
      </c>
    </row>
    <row r="143" spans="67:68" x14ac:dyDescent="0.25">
      <c r="BO143" s="202" t="s">
        <v>87</v>
      </c>
      <c r="BP143" s="199" t="s">
        <v>91</v>
      </c>
    </row>
    <row r="144" spans="67:68" x14ac:dyDescent="0.25">
      <c r="BO144" s="202" t="s">
        <v>87</v>
      </c>
      <c r="BP144" s="199" t="s">
        <v>91</v>
      </c>
    </row>
    <row r="145" spans="67:68" x14ac:dyDescent="0.25">
      <c r="BO145" s="202" t="s">
        <v>87</v>
      </c>
      <c r="BP145" s="199" t="s">
        <v>91</v>
      </c>
    </row>
    <row r="146" spans="67:68" x14ac:dyDescent="0.25">
      <c r="BO146" s="202" t="s">
        <v>87</v>
      </c>
      <c r="BP146" s="199" t="s">
        <v>91</v>
      </c>
    </row>
    <row r="147" spans="67:68" x14ac:dyDescent="0.25">
      <c r="BO147" s="202"/>
    </row>
    <row r="148" spans="67:68" x14ac:dyDescent="0.25">
      <c r="BO148" s="201" t="s">
        <v>92</v>
      </c>
      <c r="BP148" s="199" t="s">
        <v>91</v>
      </c>
    </row>
    <row r="149" spans="67:68" x14ac:dyDescent="0.25">
      <c r="BO149" s="201" t="s">
        <v>92</v>
      </c>
      <c r="BP149" s="199" t="s">
        <v>91</v>
      </c>
    </row>
    <row r="150" spans="67:68" x14ac:dyDescent="0.25">
      <c r="BO150" s="201" t="s">
        <v>92</v>
      </c>
      <c r="BP150" s="199" t="s">
        <v>91</v>
      </c>
    </row>
    <row r="151" spans="67:68" x14ac:dyDescent="0.25">
      <c r="BO151" s="201" t="s">
        <v>92</v>
      </c>
      <c r="BP151" s="199" t="s">
        <v>91</v>
      </c>
    </row>
    <row r="152" spans="67:68" x14ac:dyDescent="0.25">
      <c r="BO152" s="201" t="s">
        <v>92</v>
      </c>
      <c r="BP152" s="199" t="s">
        <v>91</v>
      </c>
    </row>
    <row r="153" spans="67:68" x14ac:dyDescent="0.25">
      <c r="BO153" s="201" t="s">
        <v>92</v>
      </c>
      <c r="BP153" s="199" t="s">
        <v>91</v>
      </c>
    </row>
    <row r="155" spans="67:68" x14ac:dyDescent="0.25">
      <c r="BO155" s="201" t="s">
        <v>87</v>
      </c>
      <c r="BP155" s="199" t="s">
        <v>91</v>
      </c>
    </row>
    <row r="156" spans="67:68" x14ac:dyDescent="0.25">
      <c r="BO156" s="201" t="s">
        <v>87</v>
      </c>
      <c r="BP156" s="199" t="s">
        <v>91</v>
      </c>
    </row>
    <row r="157" spans="67:68" x14ac:dyDescent="0.25">
      <c r="BO157" s="201" t="s">
        <v>87</v>
      </c>
      <c r="BP157" s="199" t="s">
        <v>91</v>
      </c>
    </row>
    <row r="158" spans="67:68" x14ac:dyDescent="0.25">
      <c r="BO158" s="201" t="s">
        <v>87</v>
      </c>
      <c r="BP158" s="199" t="s">
        <v>91</v>
      </c>
    </row>
    <row r="159" spans="67:68" x14ac:dyDescent="0.25">
      <c r="BO159" s="201" t="s">
        <v>87</v>
      </c>
      <c r="BP159" s="199" t="s">
        <v>91</v>
      </c>
    </row>
    <row r="160" spans="67:68" x14ac:dyDescent="0.25">
      <c r="BO160" s="201" t="s">
        <v>87</v>
      </c>
      <c r="BP160" s="199" t="s">
        <v>91</v>
      </c>
    </row>
    <row r="161" spans="67:68" x14ac:dyDescent="0.25">
      <c r="BO161" s="201" t="s">
        <v>87</v>
      </c>
      <c r="BP161" s="199" t="s">
        <v>91</v>
      </c>
    </row>
    <row r="162" spans="67:68" x14ac:dyDescent="0.25">
      <c r="BO162" s="201" t="s">
        <v>87</v>
      </c>
      <c r="BP162" s="199" t="s">
        <v>91</v>
      </c>
    </row>
    <row r="163" spans="67:68" x14ac:dyDescent="0.25">
      <c r="BO163" s="201" t="s">
        <v>87</v>
      </c>
      <c r="BP163" s="199" t="s">
        <v>91</v>
      </c>
    </row>
    <row r="164" spans="67:68" x14ac:dyDescent="0.25">
      <c r="BO164" s="201" t="s">
        <v>87</v>
      </c>
      <c r="BP164" s="199" t="s">
        <v>91</v>
      </c>
    </row>
    <row r="165" spans="67:68" x14ac:dyDescent="0.25">
      <c r="BO165" s="201" t="s">
        <v>88</v>
      </c>
      <c r="BP165" s="199" t="s">
        <v>91</v>
      </c>
    </row>
    <row r="166" spans="67:68" x14ac:dyDescent="0.25">
      <c r="BO166" s="201" t="s">
        <v>88</v>
      </c>
      <c r="BP166" s="199" t="s">
        <v>91</v>
      </c>
    </row>
    <row r="167" spans="67:68" x14ac:dyDescent="0.25">
      <c r="BO167" s="201" t="s">
        <v>88</v>
      </c>
      <c r="BP167" s="199" t="s">
        <v>91</v>
      </c>
    </row>
    <row r="168" spans="67:68" x14ac:dyDescent="0.25">
      <c r="BO168" s="201" t="s">
        <v>88</v>
      </c>
      <c r="BP168" s="199" t="s">
        <v>91</v>
      </c>
    </row>
    <row r="169" spans="67:68" x14ac:dyDescent="0.25">
      <c r="BO169" s="201" t="s">
        <v>88</v>
      </c>
      <c r="BP169" s="199" t="s">
        <v>91</v>
      </c>
    </row>
    <row r="170" spans="67:68" x14ac:dyDescent="0.25">
      <c r="BO170" s="201" t="s">
        <v>88</v>
      </c>
      <c r="BP170" s="199" t="s">
        <v>91</v>
      </c>
    </row>
    <row r="171" spans="67:68" x14ac:dyDescent="0.25">
      <c r="BO171" s="201" t="s">
        <v>88</v>
      </c>
      <c r="BP171" s="199" t="s">
        <v>91</v>
      </c>
    </row>
    <row r="172" spans="67:68" x14ac:dyDescent="0.25">
      <c r="BO172" s="201" t="s">
        <v>88</v>
      </c>
      <c r="BP172" s="199" t="s">
        <v>91</v>
      </c>
    </row>
    <row r="173" spans="67:68" x14ac:dyDescent="0.25">
      <c r="BO173" s="201" t="s">
        <v>88</v>
      </c>
      <c r="BP173" s="199" t="s">
        <v>91</v>
      </c>
    </row>
    <row r="174" spans="67:68" x14ac:dyDescent="0.25">
      <c r="BO174" s="201" t="s">
        <v>88</v>
      </c>
      <c r="BP174" s="199" t="s">
        <v>91</v>
      </c>
    </row>
    <row r="175" spans="67:68" x14ac:dyDescent="0.25">
      <c r="BO175" s="201" t="s">
        <v>88</v>
      </c>
      <c r="BP175" s="199" t="s">
        <v>91</v>
      </c>
    </row>
    <row r="176" spans="67:68" x14ac:dyDescent="0.25">
      <c r="BO176" s="201" t="s">
        <v>88</v>
      </c>
      <c r="BP176" s="199" t="s">
        <v>91</v>
      </c>
    </row>
    <row r="177" spans="67:68" x14ac:dyDescent="0.25">
      <c r="BO177" s="201" t="s">
        <v>87</v>
      </c>
      <c r="BP177" s="199" t="s">
        <v>91</v>
      </c>
    </row>
    <row r="178" spans="67:68" x14ac:dyDescent="0.25">
      <c r="BO178" s="201" t="s">
        <v>87</v>
      </c>
      <c r="BP178" s="199" t="s">
        <v>91</v>
      </c>
    </row>
    <row r="179" spans="67:68" x14ac:dyDescent="0.25">
      <c r="BO179" s="201" t="s">
        <v>87</v>
      </c>
      <c r="BP179" s="199" t="s">
        <v>91</v>
      </c>
    </row>
    <row r="180" spans="67:68" x14ac:dyDescent="0.25">
      <c r="BO180" s="201" t="s">
        <v>87</v>
      </c>
      <c r="BP180" s="199" t="s">
        <v>91</v>
      </c>
    </row>
    <row r="181" spans="67:68" x14ac:dyDescent="0.25">
      <c r="BO181" s="201" t="s">
        <v>87</v>
      </c>
      <c r="BP181" s="199" t="s">
        <v>91</v>
      </c>
    </row>
    <row r="182" spans="67:68" x14ac:dyDescent="0.25">
      <c r="BO182" s="201" t="s">
        <v>87</v>
      </c>
      <c r="BP182" s="199" t="s">
        <v>91</v>
      </c>
    </row>
    <row r="183" spans="67:68" x14ac:dyDescent="0.25">
      <c r="BO183" s="201" t="s">
        <v>87</v>
      </c>
      <c r="BP183" s="199" t="s">
        <v>91</v>
      </c>
    </row>
    <row r="184" spans="67:68" x14ac:dyDescent="0.25">
      <c r="BO184" s="201" t="s">
        <v>87</v>
      </c>
      <c r="BP184" s="199" t="s">
        <v>91</v>
      </c>
    </row>
    <row r="185" spans="67:68" x14ac:dyDescent="0.25">
      <c r="BO185" s="201" t="s">
        <v>87</v>
      </c>
      <c r="BP185" s="199" t="s">
        <v>91</v>
      </c>
    </row>
    <row r="186" spans="67:68" x14ac:dyDescent="0.25">
      <c r="BO186" s="201" t="s">
        <v>87</v>
      </c>
      <c r="BP186" s="199" t="s">
        <v>91</v>
      </c>
    </row>
    <row r="187" spans="67:68" x14ac:dyDescent="0.25">
      <c r="BO187" s="201" t="s">
        <v>87</v>
      </c>
      <c r="BP187" s="199" t="s">
        <v>91</v>
      </c>
    </row>
    <row r="188" spans="67:68" x14ac:dyDescent="0.25">
      <c r="BO188" s="201" t="s">
        <v>87</v>
      </c>
      <c r="BP188" s="199" t="s">
        <v>91</v>
      </c>
    </row>
    <row r="189" spans="67:68" x14ac:dyDescent="0.25">
      <c r="BO189" s="201" t="s">
        <v>93</v>
      </c>
      <c r="BP189" s="199" t="s">
        <v>91</v>
      </c>
    </row>
    <row r="190" spans="67:68" x14ac:dyDescent="0.25">
      <c r="BO190" s="201" t="s">
        <v>93</v>
      </c>
      <c r="BP190" s="199" t="s">
        <v>91</v>
      </c>
    </row>
    <row r="191" spans="67:68" x14ac:dyDescent="0.25">
      <c r="BO191" s="201" t="s">
        <v>93</v>
      </c>
      <c r="BP191" s="199" t="s">
        <v>91</v>
      </c>
    </row>
    <row r="192" spans="67:68" x14ac:dyDescent="0.25">
      <c r="BO192" s="201" t="s">
        <v>93</v>
      </c>
      <c r="BP192" s="199" t="s">
        <v>91</v>
      </c>
    </row>
    <row r="193" spans="67:68" x14ac:dyDescent="0.25">
      <c r="BO193" s="201" t="s">
        <v>93</v>
      </c>
      <c r="BP193" s="199" t="s">
        <v>91</v>
      </c>
    </row>
    <row r="194" spans="67:68" x14ac:dyDescent="0.25">
      <c r="BO194" s="201" t="s">
        <v>93</v>
      </c>
      <c r="BP194" s="199" t="s">
        <v>91</v>
      </c>
    </row>
    <row r="195" spans="67:68" x14ac:dyDescent="0.25">
      <c r="BO195" s="201" t="s">
        <v>93</v>
      </c>
      <c r="BP195" s="199" t="s">
        <v>91</v>
      </c>
    </row>
    <row r="196" spans="67:68" x14ac:dyDescent="0.25">
      <c r="BO196" s="201" t="s">
        <v>94</v>
      </c>
      <c r="BP196" s="199" t="s">
        <v>95</v>
      </c>
    </row>
    <row r="197" spans="67:68" x14ac:dyDescent="0.25">
      <c r="BO197" s="201" t="s">
        <v>94</v>
      </c>
      <c r="BP197" s="199" t="s">
        <v>95</v>
      </c>
    </row>
    <row r="198" spans="67:68" x14ac:dyDescent="0.25">
      <c r="BO198" s="201" t="s">
        <v>94</v>
      </c>
      <c r="BP198" s="199" t="s">
        <v>95</v>
      </c>
    </row>
    <row r="199" spans="67:68" x14ac:dyDescent="0.25">
      <c r="BO199" s="201" t="s">
        <v>94</v>
      </c>
      <c r="BP199" s="199" t="s">
        <v>95</v>
      </c>
    </row>
    <row r="200" spans="67:68" x14ac:dyDescent="0.25">
      <c r="BO200" s="201" t="s">
        <v>94</v>
      </c>
      <c r="BP200" s="199" t="s">
        <v>95</v>
      </c>
    </row>
    <row r="201" spans="67:68" x14ac:dyDescent="0.25">
      <c r="BO201" s="201" t="s">
        <v>94</v>
      </c>
      <c r="BP201" s="199" t="s">
        <v>95</v>
      </c>
    </row>
    <row r="202" spans="67:68" x14ac:dyDescent="0.25">
      <c r="BO202" s="201" t="s">
        <v>88</v>
      </c>
      <c r="BP202" s="199" t="s">
        <v>91</v>
      </c>
    </row>
    <row r="203" spans="67:68" x14ac:dyDescent="0.25">
      <c r="BO203" s="201" t="s">
        <v>88</v>
      </c>
      <c r="BP203" s="199" t="s">
        <v>91</v>
      </c>
    </row>
    <row r="204" spans="67:68" x14ac:dyDescent="0.25">
      <c r="BO204" s="201" t="s">
        <v>88</v>
      </c>
      <c r="BP204" s="199" t="s">
        <v>91</v>
      </c>
    </row>
    <row r="205" spans="67:68" x14ac:dyDescent="0.25">
      <c r="BO205" s="201" t="s">
        <v>88</v>
      </c>
      <c r="BP205" s="199" t="s">
        <v>91</v>
      </c>
    </row>
    <row r="206" spans="67:68" x14ac:dyDescent="0.25">
      <c r="BO206" s="201" t="s">
        <v>88</v>
      </c>
      <c r="BP206" s="199" t="s">
        <v>91</v>
      </c>
    </row>
    <row r="207" spans="67:68" x14ac:dyDescent="0.25">
      <c r="BO207" s="201" t="s">
        <v>88</v>
      </c>
      <c r="BP207" s="199" t="s">
        <v>91</v>
      </c>
    </row>
    <row r="208" spans="67:68" x14ac:dyDescent="0.25">
      <c r="BO208" s="201" t="s">
        <v>88</v>
      </c>
      <c r="BP208" s="199" t="s">
        <v>91</v>
      </c>
    </row>
    <row r="209" spans="67:68" x14ac:dyDescent="0.25">
      <c r="BO209" s="201" t="s">
        <v>88</v>
      </c>
      <c r="BP209" s="199" t="s">
        <v>91</v>
      </c>
    </row>
    <row r="210" spans="67:68" x14ac:dyDescent="0.25">
      <c r="BO210" s="201" t="s">
        <v>88</v>
      </c>
      <c r="BP210" s="199" t="s">
        <v>91</v>
      </c>
    </row>
    <row r="211" spans="67:68" x14ac:dyDescent="0.25">
      <c r="BO211" s="201" t="s">
        <v>88</v>
      </c>
      <c r="BP211" s="199" t="s">
        <v>91</v>
      </c>
    </row>
    <row r="212" spans="67:68" x14ac:dyDescent="0.25">
      <c r="BO212" s="201" t="s">
        <v>88</v>
      </c>
      <c r="BP212" s="199" t="s">
        <v>91</v>
      </c>
    </row>
    <row r="213" spans="67:68" x14ac:dyDescent="0.25">
      <c r="BO213" s="201" t="s">
        <v>88</v>
      </c>
      <c r="BP213" s="199" t="s">
        <v>91</v>
      </c>
    </row>
    <row r="214" spans="67:68" x14ac:dyDescent="0.25">
      <c r="BO214" s="201" t="s">
        <v>88</v>
      </c>
      <c r="BP214" s="199" t="s">
        <v>91</v>
      </c>
    </row>
    <row r="215" spans="67:68" x14ac:dyDescent="0.25">
      <c r="BO215" s="201" t="s">
        <v>88</v>
      </c>
      <c r="BP215" s="199" t="s">
        <v>91</v>
      </c>
    </row>
    <row r="216" spans="67:68" x14ac:dyDescent="0.25">
      <c r="BO216" s="201" t="s">
        <v>88</v>
      </c>
      <c r="BP216" s="199" t="s">
        <v>91</v>
      </c>
    </row>
    <row r="217" spans="67:68" x14ac:dyDescent="0.25">
      <c r="BO217" s="201" t="s">
        <v>87</v>
      </c>
      <c r="BP217" s="199" t="s">
        <v>91</v>
      </c>
    </row>
    <row r="218" spans="67:68" x14ac:dyDescent="0.25">
      <c r="BO218" s="201" t="s">
        <v>87</v>
      </c>
      <c r="BP218" s="199" t="s">
        <v>91</v>
      </c>
    </row>
    <row r="219" spans="67:68" x14ac:dyDescent="0.25">
      <c r="BO219" s="201" t="s">
        <v>87</v>
      </c>
      <c r="BP219" s="199" t="s">
        <v>91</v>
      </c>
    </row>
    <row r="220" spans="67:68" x14ac:dyDescent="0.25">
      <c r="BO220" s="201" t="s">
        <v>87</v>
      </c>
      <c r="BP220" s="199" t="s">
        <v>91</v>
      </c>
    </row>
    <row r="221" spans="67:68" x14ac:dyDescent="0.25">
      <c r="BO221" s="201" t="s">
        <v>87</v>
      </c>
      <c r="BP221" s="199" t="s">
        <v>91</v>
      </c>
    </row>
    <row r="222" spans="67:68" x14ac:dyDescent="0.25">
      <c r="BO222" s="201" t="s">
        <v>87</v>
      </c>
      <c r="BP222" s="199" t="s">
        <v>91</v>
      </c>
    </row>
    <row r="223" spans="67:68" x14ac:dyDescent="0.25">
      <c r="BO223" s="201" t="s">
        <v>87</v>
      </c>
      <c r="BP223" s="199" t="s">
        <v>91</v>
      </c>
    </row>
    <row r="224" spans="67:68" x14ac:dyDescent="0.25">
      <c r="BO224" s="201" t="s">
        <v>87</v>
      </c>
      <c r="BP224" s="199" t="s">
        <v>91</v>
      </c>
    </row>
    <row r="225" spans="67:68" x14ac:dyDescent="0.25">
      <c r="BO225" s="201" t="s">
        <v>87</v>
      </c>
      <c r="BP225" s="199" t="s">
        <v>91</v>
      </c>
    </row>
    <row r="226" spans="67:68" x14ac:dyDescent="0.25">
      <c r="BO226" s="201" t="s">
        <v>87</v>
      </c>
      <c r="BP226" s="199" t="s">
        <v>91</v>
      </c>
    </row>
    <row r="227" spans="67:68" x14ac:dyDescent="0.25">
      <c r="BO227" s="201" t="s">
        <v>87</v>
      </c>
      <c r="BP227" s="199" t="s">
        <v>91</v>
      </c>
    </row>
    <row r="228" spans="67:68" x14ac:dyDescent="0.25">
      <c r="BO228" s="201" t="s">
        <v>87</v>
      </c>
      <c r="BP228" s="199" t="s">
        <v>91</v>
      </c>
    </row>
    <row r="229" spans="67:68" x14ac:dyDescent="0.25">
      <c r="BO229" s="201" t="s">
        <v>87</v>
      </c>
      <c r="BP229" s="199" t="s">
        <v>91</v>
      </c>
    </row>
    <row r="230" spans="67:68" x14ac:dyDescent="0.25">
      <c r="BO230" s="201" t="s">
        <v>87</v>
      </c>
      <c r="BP230" s="199" t="s">
        <v>91</v>
      </c>
    </row>
    <row r="231" spans="67:68" x14ac:dyDescent="0.25">
      <c r="BO231" s="201" t="s">
        <v>87</v>
      </c>
      <c r="BP231" s="199" t="s">
        <v>91</v>
      </c>
    </row>
    <row r="232" spans="67:68" x14ac:dyDescent="0.25">
      <c r="BO232" s="201" t="s">
        <v>87</v>
      </c>
      <c r="BP232" s="199" t="s">
        <v>91</v>
      </c>
    </row>
    <row r="233" spans="67:68" x14ac:dyDescent="0.25">
      <c r="BO233" s="201" t="s">
        <v>87</v>
      </c>
      <c r="BP233" s="199" t="s">
        <v>91</v>
      </c>
    </row>
    <row r="234" spans="67:68" x14ac:dyDescent="0.25">
      <c r="BO234" s="201" t="s">
        <v>87</v>
      </c>
      <c r="BP234" s="199" t="s">
        <v>91</v>
      </c>
    </row>
    <row r="235" spans="67:68" x14ac:dyDescent="0.25">
      <c r="BO235" s="201" t="s">
        <v>87</v>
      </c>
      <c r="BP235" s="199" t="s">
        <v>91</v>
      </c>
    </row>
    <row r="236" spans="67:68" x14ac:dyDescent="0.25">
      <c r="BO236" s="201" t="s">
        <v>87</v>
      </c>
      <c r="BP236" s="199" t="s">
        <v>91</v>
      </c>
    </row>
    <row r="237" spans="67:68" x14ac:dyDescent="0.25">
      <c r="BO237" s="201" t="s">
        <v>87</v>
      </c>
      <c r="BP237" s="199" t="s">
        <v>91</v>
      </c>
    </row>
    <row r="238" spans="67:68" x14ac:dyDescent="0.25">
      <c r="BO238" s="201" t="s">
        <v>87</v>
      </c>
      <c r="BP238" s="199" t="s">
        <v>91</v>
      </c>
    </row>
    <row r="239" spans="67:68" x14ac:dyDescent="0.25">
      <c r="BO239" s="201" t="s">
        <v>93</v>
      </c>
      <c r="BP239" s="199" t="s">
        <v>91</v>
      </c>
    </row>
    <row r="240" spans="67:68" x14ac:dyDescent="0.25">
      <c r="BO240" s="201" t="s">
        <v>93</v>
      </c>
      <c r="BP240" s="199" t="s">
        <v>91</v>
      </c>
    </row>
    <row r="241" spans="67:68" x14ac:dyDescent="0.25">
      <c r="BO241" s="201" t="s">
        <v>93</v>
      </c>
      <c r="BP241" s="199" t="s">
        <v>91</v>
      </c>
    </row>
    <row r="242" spans="67:68" x14ac:dyDescent="0.25">
      <c r="BO242" s="201" t="s">
        <v>88</v>
      </c>
      <c r="BP242" s="199" t="s">
        <v>91</v>
      </c>
    </row>
    <row r="243" spans="67:68" x14ac:dyDescent="0.25">
      <c r="BO243" s="201" t="s">
        <v>88</v>
      </c>
      <c r="BP243" s="199" t="s">
        <v>91</v>
      </c>
    </row>
    <row r="244" spans="67:68" x14ac:dyDescent="0.25">
      <c r="BO244" s="201" t="s">
        <v>88</v>
      </c>
      <c r="BP244" s="199" t="s">
        <v>91</v>
      </c>
    </row>
    <row r="245" spans="67:68" x14ac:dyDescent="0.25">
      <c r="BO245" s="201" t="s">
        <v>88</v>
      </c>
      <c r="BP245" s="199" t="s">
        <v>91</v>
      </c>
    </row>
    <row r="246" spans="67:68" x14ac:dyDescent="0.25">
      <c r="BO246" s="201" t="s">
        <v>88</v>
      </c>
      <c r="BP246" s="199" t="s">
        <v>91</v>
      </c>
    </row>
    <row r="247" spans="67:68" x14ac:dyDescent="0.25">
      <c r="BO247" s="201" t="s">
        <v>88</v>
      </c>
      <c r="BP247" s="199" t="s">
        <v>91</v>
      </c>
    </row>
    <row r="248" spans="67:68" x14ac:dyDescent="0.25">
      <c r="BO248" s="201" t="s">
        <v>88</v>
      </c>
      <c r="BP248" s="199" t="s">
        <v>91</v>
      </c>
    </row>
    <row r="249" spans="67:68" x14ac:dyDescent="0.25">
      <c r="BO249" s="201" t="s">
        <v>88</v>
      </c>
      <c r="BP249" s="199" t="s">
        <v>91</v>
      </c>
    </row>
    <row r="250" spans="67:68" x14ac:dyDescent="0.25">
      <c r="BO250" s="201" t="s">
        <v>88</v>
      </c>
      <c r="BP250" s="199" t="s">
        <v>91</v>
      </c>
    </row>
    <row r="251" spans="67:68" x14ac:dyDescent="0.25">
      <c r="BO251" s="201" t="s">
        <v>88</v>
      </c>
      <c r="BP251" s="199" t="s">
        <v>91</v>
      </c>
    </row>
    <row r="252" spans="67:68" x14ac:dyDescent="0.25">
      <c r="BO252" s="201" t="s">
        <v>87</v>
      </c>
      <c r="BP252" s="199" t="s">
        <v>91</v>
      </c>
    </row>
    <row r="253" spans="67:68" x14ac:dyDescent="0.25">
      <c r="BO253" s="201" t="s">
        <v>87</v>
      </c>
      <c r="BP253" s="199" t="s">
        <v>91</v>
      </c>
    </row>
    <row r="254" spans="67:68" x14ac:dyDescent="0.25">
      <c r="BO254" s="201" t="s">
        <v>87</v>
      </c>
      <c r="BP254" s="199" t="s">
        <v>91</v>
      </c>
    </row>
    <row r="255" spans="67:68" x14ac:dyDescent="0.25">
      <c r="BO255" s="201" t="s">
        <v>87</v>
      </c>
      <c r="BP255" s="199" t="s">
        <v>91</v>
      </c>
    </row>
    <row r="256" spans="67:68" x14ac:dyDescent="0.25">
      <c r="BO256" s="201" t="s">
        <v>87</v>
      </c>
      <c r="BP256" s="199" t="s">
        <v>91</v>
      </c>
    </row>
    <row r="257" spans="67:68" x14ac:dyDescent="0.25">
      <c r="BO257" s="201" t="s">
        <v>87</v>
      </c>
      <c r="BP257" s="199" t="s">
        <v>91</v>
      </c>
    </row>
    <row r="258" spans="67:68" x14ac:dyDescent="0.25">
      <c r="BO258" s="201" t="s">
        <v>87</v>
      </c>
      <c r="BP258" s="199" t="s">
        <v>91</v>
      </c>
    </row>
    <row r="259" spans="67:68" x14ac:dyDescent="0.25">
      <c r="BO259" s="201" t="s">
        <v>87</v>
      </c>
      <c r="BP259" s="199" t="s">
        <v>91</v>
      </c>
    </row>
    <row r="260" spans="67:68" x14ac:dyDescent="0.25">
      <c r="BO260" s="201" t="s">
        <v>88</v>
      </c>
      <c r="BP260" s="199" t="s">
        <v>95</v>
      </c>
    </row>
    <row r="261" spans="67:68" x14ac:dyDescent="0.25">
      <c r="BO261" s="201" t="s">
        <v>88</v>
      </c>
      <c r="BP261" s="199" t="s">
        <v>95</v>
      </c>
    </row>
    <row r="262" spans="67:68" x14ac:dyDescent="0.25">
      <c r="BO262" s="201" t="s">
        <v>88</v>
      </c>
      <c r="BP262" s="199" t="s">
        <v>95</v>
      </c>
    </row>
    <row r="263" spans="67:68" x14ac:dyDescent="0.25">
      <c r="BO263" s="201" t="s">
        <v>88</v>
      </c>
      <c r="BP263" s="199" t="s">
        <v>95</v>
      </c>
    </row>
    <row r="264" spans="67:68" x14ac:dyDescent="0.25">
      <c r="BO264" s="201" t="s">
        <v>88</v>
      </c>
      <c r="BP264" s="199" t="s">
        <v>95</v>
      </c>
    </row>
    <row r="265" spans="67:68" x14ac:dyDescent="0.25">
      <c r="BO265" s="201" t="s">
        <v>88</v>
      </c>
      <c r="BP265" s="199" t="s">
        <v>95</v>
      </c>
    </row>
    <row r="266" spans="67:68" x14ac:dyDescent="0.25">
      <c r="BO266" s="201" t="s">
        <v>88</v>
      </c>
      <c r="BP266" s="199" t="s">
        <v>95</v>
      </c>
    </row>
    <row r="267" spans="67:68" x14ac:dyDescent="0.25">
      <c r="BO267" s="201" t="s">
        <v>88</v>
      </c>
      <c r="BP267" s="199" t="s">
        <v>95</v>
      </c>
    </row>
    <row r="268" spans="67:68" x14ac:dyDescent="0.25">
      <c r="BO268" s="201" t="s">
        <v>88</v>
      </c>
      <c r="BP268" s="199" t="s">
        <v>89</v>
      </c>
    </row>
    <row r="269" spans="67:68" x14ac:dyDescent="0.25">
      <c r="BO269" s="201" t="s">
        <v>88</v>
      </c>
      <c r="BP269" s="199" t="s">
        <v>89</v>
      </c>
    </row>
    <row r="270" spans="67:68" x14ac:dyDescent="0.25">
      <c r="BO270" s="201" t="s">
        <v>88</v>
      </c>
      <c r="BP270" s="199" t="s">
        <v>89</v>
      </c>
    </row>
    <row r="271" spans="67:68" x14ac:dyDescent="0.25">
      <c r="BO271" s="201" t="s">
        <v>88</v>
      </c>
      <c r="BP271" s="199" t="s">
        <v>89</v>
      </c>
    </row>
    <row r="272" spans="67:68" x14ac:dyDescent="0.25">
      <c r="BO272" s="201" t="s">
        <v>88</v>
      </c>
      <c r="BP272" s="199" t="s">
        <v>89</v>
      </c>
    </row>
    <row r="273" spans="67:68" x14ac:dyDescent="0.25">
      <c r="BO273" s="201" t="s">
        <v>88</v>
      </c>
      <c r="BP273" s="199" t="s">
        <v>89</v>
      </c>
    </row>
    <row r="274" spans="67:68" x14ac:dyDescent="0.25">
      <c r="BO274" s="201" t="s">
        <v>88</v>
      </c>
      <c r="BP274" s="199" t="s">
        <v>89</v>
      </c>
    </row>
    <row r="275" spans="67:68" x14ac:dyDescent="0.25">
      <c r="BO275" s="201" t="s">
        <v>88</v>
      </c>
      <c r="BP275" s="199" t="s">
        <v>89</v>
      </c>
    </row>
    <row r="276" spans="67:68" x14ac:dyDescent="0.25">
      <c r="BO276" s="201" t="s">
        <v>88</v>
      </c>
      <c r="BP276" s="199" t="s">
        <v>89</v>
      </c>
    </row>
    <row r="277" spans="67:68" x14ac:dyDescent="0.25">
      <c r="BO277" s="201" t="s">
        <v>88</v>
      </c>
      <c r="BP277" s="199" t="s">
        <v>89</v>
      </c>
    </row>
    <row r="278" spans="67:68" x14ac:dyDescent="0.25">
      <c r="BO278" s="201" t="s">
        <v>88</v>
      </c>
      <c r="BP278" s="199" t="s">
        <v>86</v>
      </c>
    </row>
    <row r="279" spans="67:68" x14ac:dyDescent="0.25">
      <c r="BO279" s="201" t="s">
        <v>88</v>
      </c>
      <c r="BP279" s="199" t="s">
        <v>86</v>
      </c>
    </row>
    <row r="280" spans="67:68" x14ac:dyDescent="0.25">
      <c r="BO280" s="201" t="s">
        <v>88</v>
      </c>
      <c r="BP280" s="199" t="s">
        <v>86</v>
      </c>
    </row>
    <row r="281" spans="67:68" x14ac:dyDescent="0.25">
      <c r="BO281" s="201" t="s">
        <v>88</v>
      </c>
      <c r="BP281" s="199" t="s">
        <v>86</v>
      </c>
    </row>
    <row r="282" spans="67:68" x14ac:dyDescent="0.25">
      <c r="BO282" s="201" t="s">
        <v>88</v>
      </c>
      <c r="BP282" s="199" t="s">
        <v>86</v>
      </c>
    </row>
    <row r="283" spans="67:68" x14ac:dyDescent="0.25">
      <c r="BO283" s="201" t="s">
        <v>88</v>
      </c>
      <c r="BP283" s="199" t="s">
        <v>86</v>
      </c>
    </row>
    <row r="284" spans="67:68" x14ac:dyDescent="0.25">
      <c r="BO284" s="201" t="s">
        <v>88</v>
      </c>
      <c r="BP284" s="199" t="s">
        <v>86</v>
      </c>
    </row>
    <row r="285" spans="67:68" x14ac:dyDescent="0.25">
      <c r="BO285" s="201" t="s">
        <v>88</v>
      </c>
      <c r="BP285" s="199" t="s">
        <v>86</v>
      </c>
    </row>
    <row r="286" spans="67:68" x14ac:dyDescent="0.25">
      <c r="BO286" s="201" t="s">
        <v>88</v>
      </c>
      <c r="BP286" s="199" t="s">
        <v>86</v>
      </c>
    </row>
    <row r="287" spans="67:68" x14ac:dyDescent="0.25">
      <c r="BO287" s="201" t="s">
        <v>88</v>
      </c>
      <c r="BP287" s="199" t="s">
        <v>86</v>
      </c>
    </row>
    <row r="288" spans="67:68" x14ac:dyDescent="0.25">
      <c r="BO288" s="201" t="s">
        <v>88</v>
      </c>
      <c r="BP288" s="199" t="s">
        <v>86</v>
      </c>
    </row>
    <row r="289" spans="67:68" x14ac:dyDescent="0.25">
      <c r="BO289" s="201" t="s">
        <v>88</v>
      </c>
      <c r="BP289" s="199" t="s">
        <v>86</v>
      </c>
    </row>
    <row r="290" spans="67:68" x14ac:dyDescent="0.25">
      <c r="BO290" s="201" t="s">
        <v>88</v>
      </c>
      <c r="BP290" s="199" t="s">
        <v>86</v>
      </c>
    </row>
    <row r="291" spans="67:68" x14ac:dyDescent="0.25">
      <c r="BO291" s="201" t="s">
        <v>88</v>
      </c>
      <c r="BP291" s="199" t="s">
        <v>86</v>
      </c>
    </row>
    <row r="292" spans="67:68" x14ac:dyDescent="0.25">
      <c r="BO292" s="201" t="s">
        <v>88</v>
      </c>
      <c r="BP292" s="199" t="s">
        <v>86</v>
      </c>
    </row>
    <row r="293" spans="67:68" x14ac:dyDescent="0.25">
      <c r="BO293" s="201" t="s">
        <v>88</v>
      </c>
      <c r="BP293" s="199" t="s">
        <v>86</v>
      </c>
    </row>
    <row r="294" spans="67:68" x14ac:dyDescent="0.25">
      <c r="BO294" s="201" t="s">
        <v>88</v>
      </c>
      <c r="BP294" s="199" t="s">
        <v>86</v>
      </c>
    </row>
    <row r="295" spans="67:68" x14ac:dyDescent="0.25">
      <c r="BO295" s="201" t="s">
        <v>88</v>
      </c>
      <c r="BP295" s="199" t="s">
        <v>86</v>
      </c>
    </row>
    <row r="296" spans="67:68" x14ac:dyDescent="0.25">
      <c r="BO296" s="201" t="s">
        <v>88</v>
      </c>
      <c r="BP296" s="199" t="s">
        <v>86</v>
      </c>
    </row>
    <row r="297" spans="67:68" x14ac:dyDescent="0.25">
      <c r="BO297" s="201" t="s">
        <v>88</v>
      </c>
      <c r="BP297" s="199" t="s">
        <v>86</v>
      </c>
    </row>
    <row r="298" spans="67:68" x14ac:dyDescent="0.25">
      <c r="BO298" s="201" t="s">
        <v>88</v>
      </c>
      <c r="BP298" s="199" t="s">
        <v>86</v>
      </c>
    </row>
    <row r="299" spans="67:68" x14ac:dyDescent="0.25">
      <c r="BO299" s="201" t="s">
        <v>88</v>
      </c>
      <c r="BP299" s="199" t="s">
        <v>86</v>
      </c>
    </row>
    <row r="300" spans="67:68" x14ac:dyDescent="0.25">
      <c r="BO300" s="201" t="s">
        <v>88</v>
      </c>
      <c r="BP300" s="199" t="s">
        <v>86</v>
      </c>
    </row>
    <row r="301" spans="67:68" x14ac:dyDescent="0.25">
      <c r="BO301" s="201" t="s">
        <v>88</v>
      </c>
      <c r="BP301" s="199" t="s">
        <v>86</v>
      </c>
    </row>
    <row r="302" spans="67:68" x14ac:dyDescent="0.25">
      <c r="BO302" s="201" t="s">
        <v>87</v>
      </c>
      <c r="BP302" s="199" t="s">
        <v>86</v>
      </c>
    </row>
    <row r="303" spans="67:68" x14ac:dyDescent="0.25">
      <c r="BO303" s="201" t="s">
        <v>87</v>
      </c>
      <c r="BP303" s="199" t="s">
        <v>86</v>
      </c>
    </row>
    <row r="304" spans="67:68" x14ac:dyDescent="0.25">
      <c r="BO304" s="201" t="s">
        <v>87</v>
      </c>
      <c r="BP304" s="199" t="s">
        <v>86</v>
      </c>
    </row>
    <row r="305" spans="67:68" x14ac:dyDescent="0.25">
      <c r="BO305" s="201" t="s">
        <v>87</v>
      </c>
      <c r="BP305" s="199" t="s">
        <v>86</v>
      </c>
    </row>
    <row r="306" spans="67:68" x14ac:dyDescent="0.25">
      <c r="BO306" s="201" t="s">
        <v>87</v>
      </c>
      <c r="BP306" s="199" t="s">
        <v>86</v>
      </c>
    </row>
    <row r="307" spans="67:68" x14ac:dyDescent="0.25">
      <c r="BO307" s="201" t="s">
        <v>87</v>
      </c>
      <c r="BP307" s="199" t="s">
        <v>86</v>
      </c>
    </row>
    <row r="308" spans="67:68" x14ac:dyDescent="0.25">
      <c r="BO308" s="201" t="s">
        <v>87</v>
      </c>
      <c r="BP308" s="199" t="s">
        <v>86</v>
      </c>
    </row>
    <row r="309" spans="67:68" x14ac:dyDescent="0.25">
      <c r="BO309" s="201" t="s">
        <v>87</v>
      </c>
      <c r="BP309" s="199" t="s">
        <v>86</v>
      </c>
    </row>
    <row r="310" spans="67:68" x14ac:dyDescent="0.25">
      <c r="BO310" s="201" t="s">
        <v>87</v>
      </c>
      <c r="BP310" s="199" t="s">
        <v>86</v>
      </c>
    </row>
    <row r="311" spans="67:68" x14ac:dyDescent="0.25">
      <c r="BO311" s="201" t="s">
        <v>87</v>
      </c>
      <c r="BP311" s="199" t="s">
        <v>86</v>
      </c>
    </row>
    <row r="312" spans="67:68" x14ac:dyDescent="0.25">
      <c r="BO312" s="201" t="s">
        <v>87</v>
      </c>
      <c r="BP312" s="199" t="s">
        <v>86</v>
      </c>
    </row>
    <row r="313" spans="67:68" x14ac:dyDescent="0.25">
      <c r="BO313" s="201" t="s">
        <v>87</v>
      </c>
      <c r="BP313" s="199" t="s">
        <v>86</v>
      </c>
    </row>
    <row r="314" spans="67:68" x14ac:dyDescent="0.25">
      <c r="BO314" s="201" t="s">
        <v>87</v>
      </c>
      <c r="BP314" s="199" t="s">
        <v>86</v>
      </c>
    </row>
    <row r="315" spans="67:68" x14ac:dyDescent="0.25">
      <c r="BO315" s="201" t="s">
        <v>88</v>
      </c>
      <c r="BP315" s="199" t="s">
        <v>89</v>
      </c>
    </row>
    <row r="316" spans="67:68" x14ac:dyDescent="0.25">
      <c r="BO316" s="201" t="s">
        <v>88</v>
      </c>
      <c r="BP316" s="199" t="s">
        <v>89</v>
      </c>
    </row>
    <row r="317" spans="67:68" x14ac:dyDescent="0.25">
      <c r="BO317" s="201" t="s">
        <v>88</v>
      </c>
      <c r="BP317" s="199" t="s">
        <v>89</v>
      </c>
    </row>
    <row r="318" spans="67:68" x14ac:dyDescent="0.25">
      <c r="BO318" s="201" t="s">
        <v>88</v>
      </c>
      <c r="BP318" s="199" t="s">
        <v>89</v>
      </c>
    </row>
    <row r="319" spans="67:68" x14ac:dyDescent="0.25">
      <c r="BO319" s="201" t="s">
        <v>88</v>
      </c>
      <c r="BP319" s="199" t="s">
        <v>89</v>
      </c>
    </row>
    <row r="320" spans="67:68" x14ac:dyDescent="0.25">
      <c r="BO320" s="201" t="s">
        <v>88</v>
      </c>
      <c r="BP320" s="199" t="s">
        <v>89</v>
      </c>
    </row>
    <row r="321" spans="67:68" x14ac:dyDescent="0.25">
      <c r="BO321" s="201" t="s">
        <v>88</v>
      </c>
      <c r="BP321" s="199" t="s">
        <v>89</v>
      </c>
    </row>
    <row r="322" spans="67:68" x14ac:dyDescent="0.25">
      <c r="BO322" s="201" t="s">
        <v>88</v>
      </c>
      <c r="BP322" s="199" t="s">
        <v>89</v>
      </c>
    </row>
    <row r="323" spans="67:68" x14ac:dyDescent="0.25">
      <c r="BO323" s="201" t="s">
        <v>88</v>
      </c>
      <c r="BP323" s="199" t="s">
        <v>89</v>
      </c>
    </row>
    <row r="324" spans="67:68" x14ac:dyDescent="0.25">
      <c r="BO324" s="201" t="s">
        <v>88</v>
      </c>
      <c r="BP324" s="199" t="s">
        <v>89</v>
      </c>
    </row>
    <row r="325" spans="67:68" x14ac:dyDescent="0.25">
      <c r="BO325" s="201" t="s">
        <v>87</v>
      </c>
      <c r="BP325" s="199" t="s">
        <v>86</v>
      </c>
    </row>
    <row r="326" spans="67:68" x14ac:dyDescent="0.25">
      <c r="BO326" s="201" t="s">
        <v>87</v>
      </c>
      <c r="BP326" s="199" t="s">
        <v>86</v>
      </c>
    </row>
    <row r="327" spans="67:68" x14ac:dyDescent="0.25">
      <c r="BO327" s="201" t="s">
        <v>87</v>
      </c>
      <c r="BP327" s="199" t="s">
        <v>86</v>
      </c>
    </row>
    <row r="328" spans="67:68" x14ac:dyDescent="0.25">
      <c r="BO328" s="201" t="s">
        <v>87</v>
      </c>
      <c r="BP328" s="199" t="s">
        <v>86</v>
      </c>
    </row>
    <row r="329" spans="67:68" x14ac:dyDescent="0.25">
      <c r="BO329" s="201" t="s">
        <v>87</v>
      </c>
      <c r="BP329" s="199" t="s">
        <v>86</v>
      </c>
    </row>
    <row r="330" spans="67:68" x14ac:dyDescent="0.25">
      <c r="BO330" s="201" t="s">
        <v>87</v>
      </c>
      <c r="BP330" s="199" t="s">
        <v>86</v>
      </c>
    </row>
    <row r="331" spans="67:68" x14ac:dyDescent="0.25">
      <c r="BO331" s="201" t="s">
        <v>87</v>
      </c>
      <c r="BP331" s="199" t="s">
        <v>86</v>
      </c>
    </row>
    <row r="332" spans="67:68" x14ac:dyDescent="0.25">
      <c r="BO332" s="201" t="s">
        <v>87</v>
      </c>
      <c r="BP332" s="199" t="s">
        <v>86</v>
      </c>
    </row>
    <row r="333" spans="67:68" x14ac:dyDescent="0.25">
      <c r="BO333" s="201" t="s">
        <v>87</v>
      </c>
      <c r="BP333" s="199" t="s">
        <v>86</v>
      </c>
    </row>
    <row r="334" spans="67:68" x14ac:dyDescent="0.25">
      <c r="BO334" s="201" t="s">
        <v>87</v>
      </c>
      <c r="BP334" s="199" t="s">
        <v>86</v>
      </c>
    </row>
    <row r="335" spans="67:68" x14ac:dyDescent="0.25">
      <c r="BO335" s="201" t="s">
        <v>87</v>
      </c>
      <c r="BP335" s="199" t="s">
        <v>86</v>
      </c>
    </row>
    <row r="336" spans="67:68" x14ac:dyDescent="0.25">
      <c r="BO336" s="201" t="s">
        <v>87</v>
      </c>
      <c r="BP336" s="199" t="s">
        <v>86</v>
      </c>
    </row>
    <row r="337" spans="67:68" x14ac:dyDescent="0.25">
      <c r="BO337" s="201" t="s">
        <v>87</v>
      </c>
      <c r="BP337" s="199" t="s">
        <v>86</v>
      </c>
    </row>
    <row r="338" spans="67:68" x14ac:dyDescent="0.25">
      <c r="BO338" s="201" t="s">
        <v>87</v>
      </c>
      <c r="BP338" s="199" t="s">
        <v>86</v>
      </c>
    </row>
    <row r="339" spans="67:68" x14ac:dyDescent="0.25">
      <c r="BO339" s="201" t="s">
        <v>87</v>
      </c>
      <c r="BP339" s="199" t="s">
        <v>86</v>
      </c>
    </row>
    <row r="340" spans="67:68" x14ac:dyDescent="0.25">
      <c r="BO340" s="201" t="s">
        <v>87</v>
      </c>
      <c r="BP340" s="199" t="s">
        <v>86</v>
      </c>
    </row>
    <row r="341" spans="67:68" x14ac:dyDescent="0.25">
      <c r="BO341" s="201" t="s">
        <v>87</v>
      </c>
      <c r="BP341" s="199" t="s">
        <v>86</v>
      </c>
    </row>
    <row r="342" spans="67:68" x14ac:dyDescent="0.25">
      <c r="BO342" s="201" t="s">
        <v>87</v>
      </c>
      <c r="BP342" s="199" t="s">
        <v>86</v>
      </c>
    </row>
    <row r="343" spans="67:68" x14ac:dyDescent="0.25">
      <c r="BO343" s="201" t="s">
        <v>87</v>
      </c>
      <c r="BP343" s="199" t="s">
        <v>86</v>
      </c>
    </row>
    <row r="344" spans="67:68" x14ac:dyDescent="0.25">
      <c r="BO344" s="201" t="s">
        <v>87</v>
      </c>
      <c r="BP344" s="199" t="s">
        <v>86</v>
      </c>
    </row>
    <row r="345" spans="67:68" x14ac:dyDescent="0.25">
      <c r="BO345" s="201" t="s">
        <v>87</v>
      </c>
      <c r="BP345" s="199" t="s">
        <v>86</v>
      </c>
    </row>
    <row r="346" spans="67:68" x14ac:dyDescent="0.25">
      <c r="BO346" s="201" t="s">
        <v>87</v>
      </c>
      <c r="BP346" s="199" t="s">
        <v>86</v>
      </c>
    </row>
    <row r="347" spans="67:68" x14ac:dyDescent="0.25">
      <c r="BO347" s="201" t="s">
        <v>87</v>
      </c>
      <c r="BP347" s="199" t="s">
        <v>86</v>
      </c>
    </row>
  </sheetData>
  <conditionalFormatting sqref="AS4:AS6 AS9:AS10">
    <cfRule type="cellIs" dxfId="11" priority="18" operator="greaterThan">
      <formula>1</formula>
    </cfRule>
  </conditionalFormatting>
  <conditionalFormatting sqref="AT4:AT6 AT10:AV10 AT9">
    <cfRule type="cellIs" dxfId="10" priority="17" operator="greaterThan">
      <formula>0</formula>
    </cfRule>
  </conditionalFormatting>
  <conditionalFormatting sqref="AU4:AV6 AU9:AV9">
    <cfRule type="cellIs" dxfId="9" priority="16" operator="greaterThan">
      <formula>0</formula>
    </cfRule>
  </conditionalFormatting>
  <conditionalFormatting sqref="AS11">
    <cfRule type="cellIs" dxfId="8" priority="9" operator="greaterThan">
      <formula>1</formula>
    </cfRule>
  </conditionalFormatting>
  <conditionalFormatting sqref="AT11">
    <cfRule type="cellIs" dxfId="7" priority="8" operator="greaterThan">
      <formula>0</formula>
    </cfRule>
  </conditionalFormatting>
  <conditionalFormatting sqref="AU11:AV11">
    <cfRule type="cellIs" dxfId="6" priority="7" operator="greaterThan">
      <formula>0</formula>
    </cfRule>
  </conditionalFormatting>
  <conditionalFormatting sqref="AS8">
    <cfRule type="cellIs" dxfId="5" priority="6" operator="greaterThan">
      <formula>1</formula>
    </cfRule>
  </conditionalFormatting>
  <conditionalFormatting sqref="AT8">
    <cfRule type="cellIs" dxfId="4" priority="5" operator="greaterThan">
      <formula>0</formula>
    </cfRule>
  </conditionalFormatting>
  <conditionalFormatting sqref="AU8:AV8">
    <cfRule type="cellIs" dxfId="3" priority="4" operator="greaterThan">
      <formula>0</formula>
    </cfRule>
  </conditionalFormatting>
  <conditionalFormatting sqref="AS7">
    <cfRule type="cellIs" dxfId="2" priority="3" operator="greaterThan">
      <formula>1</formula>
    </cfRule>
  </conditionalFormatting>
  <conditionalFormatting sqref="AT7">
    <cfRule type="cellIs" dxfId="1" priority="2" operator="greaterThan">
      <formula>0</formula>
    </cfRule>
  </conditionalFormatting>
  <conditionalFormatting sqref="AU7:AV7">
    <cfRule type="cellIs" dxfId="0" priority="1" operator="greaterThan">
      <formula>0</formula>
    </cfRule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Boiko, Julie R</cp:lastModifiedBy>
  <cp:lastPrinted>2022-09-27T16:57:51Z</cp:lastPrinted>
  <dcterms:created xsi:type="dcterms:W3CDTF">2021-11-05T00:05:03Z</dcterms:created>
  <dcterms:modified xsi:type="dcterms:W3CDTF">2022-12-14T01:04:41Z</dcterms:modified>
</cp:coreProperties>
</file>