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h\Desktop\Projects\[Methods]\"/>
    </mc:Choice>
  </mc:AlternateContent>
  <xr:revisionPtr revIDLastSave="0" documentId="13_ncr:1_{87293D6F-7EF6-42B9-BC19-2B27F18DBB61}" xr6:coauthVersionLast="47" xr6:coauthVersionMax="47" xr10:uidLastSave="{00000000-0000-0000-0000-000000000000}"/>
  <bookViews>
    <workbookView xWindow="-120" yWindow="-120" windowWidth="29040" windowHeight="15840" xr2:uid="{8066F317-352D-4FC4-925E-D717BDCA52A1}"/>
  </bookViews>
  <sheets>
    <sheet name="Sheet1" sheetId="1" r:id="rId1"/>
    <sheet name="Sheet1 (2)" sheetId="2" r:id="rId2"/>
  </sheets>
  <definedNames>
    <definedName name="_xlnm.Print_Area" localSheetId="0">Sheet1!$A$1:$C$35</definedName>
    <definedName name="_xlnm.Print_Area" localSheetId="1">'Sheet1 (2)'!$A$1:$C$33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" l="1"/>
  <c r="B16" i="2"/>
  <c r="B15" i="2"/>
  <c r="B7" i="2" l="1"/>
  <c r="B14" i="2" s="1"/>
  <c r="B13" i="2" l="1"/>
  <c r="B19" i="2" s="1"/>
  <c r="B20" i="2" s="1"/>
  <c r="B7" i="1"/>
  <c r="B14" i="1" l="1"/>
  <c r="B15" i="1" s="1"/>
  <c r="B16" i="1"/>
  <c r="B19" i="1" s="1"/>
  <c r="B20" i="1" s="1"/>
</calcChain>
</file>

<file path=xl/sharedStrings.xml><?xml version="1.0" encoding="utf-8"?>
<sst xmlns="http://schemas.openxmlformats.org/spreadsheetml/2006/main" count="64" uniqueCount="40">
  <si>
    <t># of samples</t>
  </si>
  <si>
    <t># of standards</t>
  </si>
  <si>
    <t># of extra</t>
  </si>
  <si>
    <t xml:space="preserve">total MM made for </t>
  </si>
  <si>
    <t>total vol (ul)</t>
  </si>
  <si>
    <t>eg. 40 samples x 5 ul = 200 ul</t>
  </si>
  <si>
    <r>
      <t xml:space="preserve">each </t>
    </r>
    <r>
      <rPr>
        <sz val="11"/>
        <color rgb="FF0000FF"/>
        <rFont val="Calibri"/>
        <family val="2"/>
        <scheme val="minor"/>
      </rPr>
      <t>cytokine bead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FF0000"/>
        <rFont val="Calibri"/>
        <family val="2"/>
        <scheme val="minor"/>
      </rPr>
      <t>PE Ab</t>
    </r>
    <r>
      <rPr>
        <sz val="11"/>
        <color theme="1"/>
        <rFont val="Calibri"/>
        <family val="2"/>
        <scheme val="minor"/>
      </rPr>
      <t xml:space="preserve"> (ul)</t>
    </r>
  </si>
  <si>
    <r>
      <t xml:space="preserve">total vol of </t>
    </r>
    <r>
      <rPr>
        <sz val="11"/>
        <color rgb="FF0000FF"/>
        <rFont val="Calibri"/>
        <family val="2"/>
        <scheme val="minor"/>
      </rPr>
      <t>beads</t>
    </r>
    <r>
      <rPr>
        <sz val="11"/>
        <color theme="1"/>
        <rFont val="Calibri"/>
        <family val="2"/>
        <scheme val="minor"/>
      </rPr>
      <t xml:space="preserve">/ </t>
    </r>
    <r>
      <rPr>
        <sz val="11"/>
        <color rgb="FFFF0000"/>
        <rFont val="Calibri"/>
        <family val="2"/>
        <scheme val="minor"/>
      </rPr>
      <t>PE Abs</t>
    </r>
    <r>
      <rPr>
        <sz val="11"/>
        <color theme="1"/>
        <rFont val="Calibri"/>
        <family val="2"/>
        <scheme val="minor"/>
      </rPr>
      <t xml:space="preserve"> (ul)</t>
    </r>
  </si>
  <si>
    <t># of cytokines in the cocktails</t>
  </si>
  <si>
    <r>
      <rPr>
        <sz val="11"/>
        <color rgb="FF0000FF"/>
        <rFont val="Calibri"/>
        <family val="2"/>
        <scheme val="minor"/>
      </rPr>
      <t>capture diluent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FF0000"/>
        <rFont val="Calibri"/>
        <family val="2"/>
        <scheme val="minor"/>
      </rPr>
      <t>PE detectopm diluent</t>
    </r>
    <r>
      <rPr>
        <sz val="11"/>
        <color theme="1"/>
        <rFont val="Calibri"/>
        <family val="2"/>
        <scheme val="minor"/>
      </rPr>
      <t xml:space="preserve"> (ul)</t>
    </r>
  </si>
  <si>
    <t>confirming… total vol (ul)</t>
  </si>
  <si>
    <t>1. how many samples and cytokines</t>
  </si>
  <si>
    <t>2. MM culculations</t>
  </si>
  <si>
    <t>10 ul each pippet from beads MM + PE MM (ul)</t>
  </si>
  <si>
    <t>eg. 40 samples x 0.1 ul = 4ul</t>
  </si>
  <si>
    <t>eg. 7 cyotkines</t>
  </si>
  <si>
    <t>eg. 40 samples (including extra)</t>
  </si>
  <si>
    <t>eg. 7 cytokines x 4 ul = 28ul</t>
  </si>
  <si>
    <t>3. comined beads MM + PE MM (ul)</t>
  </si>
  <si>
    <t>4. aliquot 5 ul standard/sample in the V bottom</t>
  </si>
  <si>
    <t>5. aliquot 10 ul combined MM in the V bottom and mix</t>
  </si>
  <si>
    <t>6. 2 hours in the dark, RT</t>
  </si>
  <si>
    <t>7. wash with FACS buffer (add 150 ul) and spin 3-5 min at 1000 rpm</t>
  </si>
  <si>
    <t>8. voltex and resuspend 100 ul FACS buffer</t>
  </si>
  <si>
    <t>Flex set up (6-16-2020)</t>
  </si>
  <si>
    <t xml:space="preserve">!! IL-23 p19/40 (25K pg/ml, stock) cannot use with the cocktail including IL-12p70, as both are in position D7. </t>
  </si>
  <si>
    <t>eg. 200-28 = 172 ul</t>
  </si>
  <si>
    <t>!! IL-21 standard is different conc (10K pg/ml as top and stock), so this needs to run in another plate.</t>
  </si>
  <si>
    <t>(ul)</t>
  </si>
  <si>
    <r>
      <t xml:space="preserve">!! MM of </t>
    </r>
    <r>
      <rPr>
        <b/>
        <sz val="11"/>
        <color rgb="FF0000FF"/>
        <rFont val="Calibri"/>
        <family val="2"/>
        <scheme val="minor"/>
      </rPr>
      <t xml:space="preserve">capture beads+ capture diluent </t>
    </r>
    <r>
      <rPr>
        <b/>
        <sz val="11"/>
        <color theme="1"/>
        <rFont val="Calibri"/>
        <family val="2"/>
        <scheme val="minor"/>
      </rPr>
      <t xml:space="preserve">or </t>
    </r>
    <r>
      <rPr>
        <b/>
        <sz val="11"/>
        <color rgb="FFFF0000"/>
        <rFont val="Calibri"/>
        <family val="2"/>
        <scheme val="minor"/>
      </rPr>
      <t>PE detection + detectopm diluent</t>
    </r>
  </si>
  <si>
    <t>standard: 3A4 (-80 freezer)</t>
  </si>
  <si>
    <t>Flex set up (1- -2021)</t>
  </si>
  <si>
    <t>eg. 75 samples x 5 ul = 375 ul</t>
  </si>
  <si>
    <t>eg. 75 samples x 0.1 ul = 7.5 ul</t>
  </si>
  <si>
    <t>eg. 17 cytokines x 7.5 ul = 127.5 ul</t>
  </si>
  <si>
    <t>eg. 375-127.5 = 247.5 ul</t>
  </si>
  <si>
    <t>13 x  4</t>
  </si>
  <si>
    <t>Exp XXX dX  serum</t>
  </si>
  <si>
    <t>Exp.XXX DayX serum</t>
  </si>
  <si>
    <t>1 extra per 6.5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</si>
</sst>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/>
    <xf numFmtId="0" fontId="3" fillId="4" borderId="0" xfId="0" applyFont="1" applyFill="1"/>
    <xf numFmtId="0" fontId="0" fillId="0" borderId="0" xfId="0" applyAlignment="1">
      <alignment horizontal="right" indent="2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BDA1-BEB4-420D-A677-7A1179E9C834}">
  <dimension ref="A1:C34"/>
  <sheetViews>
    <sheetView tabSelected="1" workbookViewId="0">
      <selection activeCell="I17" sqref="I17"/>
    </sheetView>
  </sheetViews>
  <sheetFormatPr defaultRowHeight="15" x14ac:dyDescent="0.25"/>
  <cols>
    <col min="1" max="1" width="39.28515625" customWidth="1"/>
    <col min="2" max="2" width="14.140625" customWidth="1"/>
    <col min="3" max="3" width="35" style="8" customWidth="1"/>
  </cols>
  <sheetData>
    <row r="1" spans="1:3" ht="21" x14ac:dyDescent="0.35">
      <c r="A1" s="2" t="s">
        <v>24</v>
      </c>
      <c r="B1" s="1" t="s">
        <v>30</v>
      </c>
    </row>
    <row r="2" spans="1:3" ht="21" x14ac:dyDescent="0.35">
      <c r="A2" s="7" t="s">
        <v>38</v>
      </c>
    </row>
    <row r="3" spans="1:3" x14ac:dyDescent="0.25">
      <c r="A3" s="6" t="s">
        <v>11</v>
      </c>
    </row>
    <row r="4" spans="1:3" x14ac:dyDescent="0.25">
      <c r="A4" t="s">
        <v>0</v>
      </c>
      <c r="B4">
        <v>13</v>
      </c>
    </row>
    <row r="5" spans="1:3" x14ac:dyDescent="0.25">
      <c r="A5" t="s">
        <v>1</v>
      </c>
      <c r="B5">
        <v>11</v>
      </c>
    </row>
    <row r="6" spans="1:3" x14ac:dyDescent="0.25">
      <c r="A6" t="s">
        <v>2</v>
      </c>
      <c r="B6">
        <v>5</v>
      </c>
      <c r="C6" s="10" t="s">
        <v>39</v>
      </c>
    </row>
    <row r="7" spans="1:3" x14ac:dyDescent="0.25">
      <c r="A7" t="s">
        <v>3</v>
      </c>
      <c r="B7" s="3">
        <f>B4+B5+B6</f>
        <v>29</v>
      </c>
      <c r="C7" s="8" t="s">
        <v>16</v>
      </c>
    </row>
    <row r="8" spans="1:3" x14ac:dyDescent="0.25">
      <c r="A8" t="s">
        <v>8</v>
      </c>
      <c r="B8" s="4">
        <v>17</v>
      </c>
      <c r="C8" s="8" t="s">
        <v>15</v>
      </c>
    </row>
    <row r="9" spans="1:3" x14ac:dyDescent="0.25">
      <c r="B9" s="5"/>
    </row>
    <row r="10" spans="1:3" x14ac:dyDescent="0.25">
      <c r="B10" s="5"/>
    </row>
    <row r="11" spans="1:3" x14ac:dyDescent="0.25">
      <c r="A11" s="6" t="s">
        <v>12</v>
      </c>
      <c r="B11" s="9" t="s">
        <v>28</v>
      </c>
    </row>
    <row r="12" spans="1:3" ht="14.45" customHeight="1" x14ac:dyDescent="0.25">
      <c r="A12" s="6" t="s">
        <v>29</v>
      </c>
    </row>
    <row r="13" spans="1:3" x14ac:dyDescent="0.25">
      <c r="A13" t="s">
        <v>4</v>
      </c>
      <c r="B13">
        <f>B7*5</f>
        <v>145</v>
      </c>
      <c r="C13" s="8" t="s">
        <v>5</v>
      </c>
    </row>
    <row r="14" spans="1:3" x14ac:dyDescent="0.25">
      <c r="A14" t="s">
        <v>6</v>
      </c>
      <c r="B14">
        <f>B7*0.1</f>
        <v>2.9000000000000004</v>
      </c>
      <c r="C14" s="8" t="s">
        <v>14</v>
      </c>
    </row>
    <row r="15" spans="1:3" x14ac:dyDescent="0.25">
      <c r="A15" t="s">
        <v>7</v>
      </c>
      <c r="B15">
        <f>B14*B8</f>
        <v>49.300000000000004</v>
      </c>
      <c r="C15" s="8" t="s">
        <v>17</v>
      </c>
    </row>
    <row r="16" spans="1:3" x14ac:dyDescent="0.25">
      <c r="A16" t="s">
        <v>9</v>
      </c>
      <c r="B16">
        <f>B13-B15</f>
        <v>95.699999999999989</v>
      </c>
      <c r="C16" s="8" t="s">
        <v>26</v>
      </c>
    </row>
    <row r="18" spans="1:2" x14ac:dyDescent="0.25">
      <c r="A18" s="6" t="s">
        <v>18</v>
      </c>
    </row>
    <row r="19" spans="1:2" x14ac:dyDescent="0.25">
      <c r="A19" t="s">
        <v>10</v>
      </c>
      <c r="B19">
        <f>B16+B15</f>
        <v>145</v>
      </c>
    </row>
    <row r="20" spans="1:2" x14ac:dyDescent="0.25">
      <c r="A20" t="s">
        <v>13</v>
      </c>
      <c r="B20">
        <f>B19*2</f>
        <v>290</v>
      </c>
    </row>
    <row r="23" spans="1:2" x14ac:dyDescent="0.25">
      <c r="A23" s="6" t="s">
        <v>19</v>
      </c>
    </row>
    <row r="25" spans="1:2" x14ac:dyDescent="0.25">
      <c r="A25" s="6" t="s">
        <v>20</v>
      </c>
    </row>
    <row r="27" spans="1:2" x14ac:dyDescent="0.25">
      <c r="A27" s="6" t="s">
        <v>21</v>
      </c>
    </row>
    <row r="29" spans="1:2" x14ac:dyDescent="0.25">
      <c r="A29" s="6" t="s">
        <v>22</v>
      </c>
    </row>
    <row r="31" spans="1:2" x14ac:dyDescent="0.25">
      <c r="A31" s="6" t="s">
        <v>23</v>
      </c>
    </row>
    <row r="33" spans="1:1" x14ac:dyDescent="0.25">
      <c r="A33" s="1" t="s">
        <v>25</v>
      </c>
    </row>
    <row r="34" spans="1:1" x14ac:dyDescent="0.25">
      <c r="A34" s="1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1EA8-0158-47EC-AD50-9694E1B61632}">
  <dimension ref="A1:C31"/>
  <sheetViews>
    <sheetView workbookViewId="0">
      <selection activeCell="B20" sqref="B20"/>
    </sheetView>
  </sheetViews>
  <sheetFormatPr defaultRowHeight="15" x14ac:dyDescent="0.25"/>
  <cols>
    <col min="1" max="1" width="41.7109375" customWidth="1"/>
    <col min="2" max="2" width="14.140625" customWidth="1"/>
    <col min="3" max="3" width="35" style="8" customWidth="1"/>
  </cols>
  <sheetData>
    <row r="1" spans="1:3" ht="21" x14ac:dyDescent="0.35">
      <c r="A1" s="2" t="s">
        <v>31</v>
      </c>
      <c r="B1" s="1" t="s">
        <v>30</v>
      </c>
    </row>
    <row r="2" spans="1:3" ht="21" x14ac:dyDescent="0.35">
      <c r="A2" s="7" t="s">
        <v>37</v>
      </c>
    </row>
    <row r="3" spans="1:3" x14ac:dyDescent="0.25">
      <c r="A3" s="6" t="s">
        <v>11</v>
      </c>
    </row>
    <row r="4" spans="1:3" x14ac:dyDescent="0.25">
      <c r="A4" t="s">
        <v>0</v>
      </c>
      <c r="B4">
        <v>52</v>
      </c>
      <c r="C4" s="8" t="s">
        <v>36</v>
      </c>
    </row>
    <row r="5" spans="1:3" x14ac:dyDescent="0.25">
      <c r="A5" t="s">
        <v>1</v>
      </c>
      <c r="B5">
        <v>11</v>
      </c>
    </row>
    <row r="6" spans="1:3" x14ac:dyDescent="0.25">
      <c r="A6" t="s">
        <v>2</v>
      </c>
      <c r="B6">
        <v>12</v>
      </c>
    </row>
    <row r="7" spans="1:3" x14ac:dyDescent="0.25">
      <c r="A7" t="s">
        <v>3</v>
      </c>
      <c r="B7" s="3">
        <f>B4+B5+B6</f>
        <v>75</v>
      </c>
      <c r="C7" s="8" t="s">
        <v>16</v>
      </c>
    </row>
    <row r="8" spans="1:3" x14ac:dyDescent="0.25">
      <c r="A8" t="s">
        <v>8</v>
      </c>
      <c r="B8" s="4">
        <v>17</v>
      </c>
      <c r="C8" s="8" t="s">
        <v>15</v>
      </c>
    </row>
    <row r="9" spans="1:3" x14ac:dyDescent="0.25">
      <c r="B9" s="5"/>
    </row>
    <row r="10" spans="1:3" x14ac:dyDescent="0.25">
      <c r="B10" s="5"/>
    </row>
    <row r="11" spans="1:3" x14ac:dyDescent="0.25">
      <c r="A11" s="6" t="s">
        <v>12</v>
      </c>
      <c r="B11" s="9" t="s">
        <v>28</v>
      </c>
    </row>
    <row r="12" spans="1:3" ht="14.45" customHeight="1" x14ac:dyDescent="0.25">
      <c r="A12" s="6" t="s">
        <v>29</v>
      </c>
    </row>
    <row r="13" spans="1:3" x14ac:dyDescent="0.25">
      <c r="A13" t="s">
        <v>4</v>
      </c>
      <c r="B13">
        <f>B7*5</f>
        <v>375</v>
      </c>
      <c r="C13" s="8" t="s">
        <v>32</v>
      </c>
    </row>
    <row r="14" spans="1:3" x14ac:dyDescent="0.25">
      <c r="A14" t="s">
        <v>6</v>
      </c>
      <c r="B14">
        <f>B7*0.1</f>
        <v>7.5</v>
      </c>
      <c r="C14" s="8" t="s">
        <v>33</v>
      </c>
    </row>
    <row r="15" spans="1:3" x14ac:dyDescent="0.25">
      <c r="A15" t="s">
        <v>7</v>
      </c>
      <c r="B15">
        <f>B8*B14</f>
        <v>127.5</v>
      </c>
      <c r="C15" s="8" t="s">
        <v>34</v>
      </c>
    </row>
    <row r="16" spans="1:3" x14ac:dyDescent="0.25">
      <c r="A16" t="s">
        <v>9</v>
      </c>
      <c r="B16">
        <f>B13-B15</f>
        <v>247.5</v>
      </c>
      <c r="C16" s="8" t="s">
        <v>35</v>
      </c>
    </row>
    <row r="18" spans="1:2" x14ac:dyDescent="0.25">
      <c r="A18" s="6" t="s">
        <v>18</v>
      </c>
    </row>
    <row r="19" spans="1:2" x14ac:dyDescent="0.25">
      <c r="A19" t="s">
        <v>10</v>
      </c>
      <c r="B19">
        <f>B16+B15</f>
        <v>375</v>
      </c>
    </row>
    <row r="20" spans="1:2" x14ac:dyDescent="0.25">
      <c r="A20" t="s">
        <v>13</v>
      </c>
      <c r="B20">
        <f>B19*2</f>
        <v>750</v>
      </c>
    </row>
    <row r="23" spans="1:2" x14ac:dyDescent="0.25">
      <c r="A23" s="6" t="s">
        <v>19</v>
      </c>
    </row>
    <row r="25" spans="1:2" x14ac:dyDescent="0.25">
      <c r="A25" s="6" t="s">
        <v>20</v>
      </c>
    </row>
    <row r="27" spans="1:2" x14ac:dyDescent="0.25">
      <c r="A27" s="6" t="s">
        <v>21</v>
      </c>
    </row>
    <row r="29" spans="1:2" x14ac:dyDescent="0.25">
      <c r="A29" s="6" t="s">
        <v>22</v>
      </c>
    </row>
    <row r="31" spans="1:2" x14ac:dyDescent="0.25">
      <c r="A31" s="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Koyama, Motoko</dc:creator>
  <cp:lastModifiedBy>Yeh, Albert C</cp:lastModifiedBy>
  <cp:lastPrinted>2022-10-07T16:52:03Z</cp:lastPrinted>
  <dcterms:created xsi:type="dcterms:W3CDTF">2020-06-16T21:01:39Z</dcterms:created>
  <dcterms:modified xsi:type="dcterms:W3CDTF">2022-10-17T21:07:14Z</dcterms:modified>
</cp:coreProperties>
</file>